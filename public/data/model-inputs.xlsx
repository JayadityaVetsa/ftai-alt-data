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35e02fb4df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 model" sheetId="1" r:id="Rd7028015f77242dd"/>
    <x:sheet xmlns:r="http://schemas.openxmlformats.org/officeDocument/2006/relationships" name="Deployment" sheetId="2" r:id="R6b7f70353f1c433f"/>
    <x:sheet xmlns:r="http://schemas.openxmlformats.org/officeDocument/2006/relationships" name="Engine allocation" sheetId="3" r:id="R4abe4ed77cb54599"/>
    <x:sheet xmlns:r="http://schemas.openxmlformats.org/officeDocument/2006/relationships" name="Valuation" sheetId="4" r:id="Rcdd9751d3c2b4c2b"/>
    <x:sheet xmlns:r="http://schemas.openxmlformats.org/officeDocument/2006/relationships" name="Evidence" sheetId="5" r:id="Rc6b32fd4fbfe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&quot;-&quot;"/>
    <x:numFmt numFmtId="201" formatCode="0.0%"/>
    <x:numFmt numFmtId="202" formatCode="$0.00"/>
    <x:numFmt numFmtId="203" formatCode="0.00"/>
  </x:numFmts>
  <x:fonts count="6">
    <x:font>
      <x:sz val="11"/>
      <x:name val="Carlito"/>
    </x:font>
    <x:font>
      <x:sz val="10"/>
      <x:color rgb="FF17263A"/>
      <x:name val="Arial"/>
    </x:font>
    <x:font>
      <x:b/>
      <x:sz val="15"/>
      <x:color rgb="FF17263A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63A"/>
      </x:patternFill>
    </x:fill>
    <x:fill>
      <x:patternFill patternType="solid">
        <x:fgColor rgb="FFFFF2CE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5" fillId="2" borderId="0" xfId="0" applyNumberFormat="1" applyFont="1" applyFill="1" applyBorder="1"/>
    <x:xf numFmtId="200" fontId="5" fillId="2" borderId="0" xfId="0" applyNumberFormat="1" applyFont="1" applyFill="1" applyBorder="1"/>
    <x:xf numFmtId="200" fontId="3" fillId="0" borderId="0" xfId="0" applyNumberFormat="1" applyFont="1" applyFill="1" applyBorder="1"/>
    <x:xf numFmtId="201" fontId="1" fillId="0" borderId="0" xfId="0" applyNumberFormat="1" applyFont="1" applyFill="1" applyBorder="1"/>
    <x:xf numFmtId="201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4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200" fontId="5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284ad338f4693" /><Relationship Type="http://schemas.openxmlformats.org/officeDocument/2006/relationships/theme" Target="/xl/theme/theme1.xml" Id="R1e97649d6aa84203" /><Relationship Type="http://schemas.openxmlformats.org/officeDocument/2006/relationships/sharedStrings" Target="/xl/sharedStrings.xml" Id="R05743082593e4a42" /><Relationship Type="http://schemas.openxmlformats.org/officeDocument/2006/relationships/worksheet" Target="/xl/worksheets/sheet1.xml" Id="Rd7028015f77242dd" /><Relationship Type="http://schemas.openxmlformats.org/officeDocument/2006/relationships/worksheet" Target="/xl/worksheets/sheet2.xml" Id="R6b7f70353f1c433f" /><Relationship Type="http://schemas.openxmlformats.org/officeDocument/2006/relationships/worksheet" Target="/xl/worksheets/sheet3.xml" Id="R4abe4ed77cb54599" /><Relationship Type="http://schemas.openxmlformats.org/officeDocument/2006/relationships/worksheet" Target="/xl/worksheets/sheet4.xml" Id="Rcdd9751d3c2b4c2b" /><Relationship Type="http://schemas.openxmlformats.org/officeDocument/2006/relationships/worksheet" Target="/xl/worksheets/sheet5.xml" Id="Rc6b32fd4fbfe44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263A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2" ht="22" customHeight="1">
      <x:c r="C2" s="2" t="str">
        <x:v>FTAI Power operating model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C3" s="1" t="str">
        <x:v>Case number: 1 Bear / 2 Base / 3 Bull</x:v>
      </x:c>
      <x:c r="D3" s="4" t="n">
        <x:v>2</x:v>
      </x:c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C4" s="1" t="str">
        <x:v>Case selected</x:v>
      </x:c>
      <x:c r="D4" s="5" t="str">
        <x:f>CHOOSE(D3,"Bear","Base","Bull")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5" customHeight="1">
      <x:c r="C5" s="8" t="str">
        <x:v>FY2027 model output</x:v>
      </x:c>
      <x:c r="D5" s="9" t="str">
        <x:v>USD millions / units</x:v>
      </x:c>
      <x:c r="E5" s="3"/>
      <x:c r="F5" s="3"/>
      <x:c r="G5" s="3"/>
      <x:c r="H5" s="1"/>
      <x:c r="I5" s="1"/>
      <x:c r="J5" s="1"/>
      <x:c r="K5" s="1"/>
      <x:c r="L5" s="1"/>
    </x:row>
    <x:row r="6" ht="22" customHeight="1">
      <x:c r="C6" s="1" t="str">
        <x:v>Constrained deliveries</x:v>
      </x:c>
      <x:c r="D6" s="3" t="n">
        <x:f>MIN(D19,D20,INT(D21*D22))</x:f>
        <x:v>80</x:v>
      </x:c>
      <x:c r="E6" s="3"/>
      <x:c r="F6" s="3"/>
      <x:c r="G6" s="3"/>
      <x:c r="H6" s="1"/>
      <x:c r="I6" s="1"/>
      <x:c r="J6" s="1"/>
      <x:c r="K6" s="1"/>
      <x:c r="L6" s="1"/>
    </x:row>
    <x:row r="7" ht="22" customHeight="1">
      <x:c r="C7" s="1" t="str">
        <x:v>FTAI turbine revenue</x:v>
      </x:c>
      <x:c r="D7" s="3" t="n">
        <x:f>D6*D23</x:f>
        <x:v>480</x:v>
      </x:c>
      <x:c r="E7" s="3"/>
      <x:c r="F7" s="3"/>
      <x:c r="G7" s="3"/>
      <x:c r="H7" s="1"/>
      <x:c r="I7" s="1"/>
      <x:c r="J7" s="1"/>
      <x:c r="K7" s="1"/>
      <x:c r="L7" s="1"/>
    </x:row>
    <x:row r="8" ht="22" customHeight="1">
      <x:c r="C8" s="1" t="str">
        <x:v>Turbine gross profit after sensitivity</x:v>
      </x:c>
      <x:c r="D8" s="3" t="n">
        <x:f>D7*(D24-D38-D39)</x:f>
        <x:v>168</x:v>
      </x:c>
      <x:c r="E8" s="3"/>
      <x:c r="F8" s="3"/>
      <x:c r="G8" s="3"/>
      <x:c r="H8" s="1"/>
      <x:c r="I8" s="1"/>
      <x:c r="J8" s="1"/>
      <x:c r="K8" s="1"/>
      <x:c r="L8" s="1"/>
    </x:row>
    <x:row r="9" ht="22" customHeight="1">
      <x:c r="C9" s="1" t="str">
        <x:v>Service gross profit</x:v>
      </x:c>
      <x:c r="D9" s="3" t="n">
        <x:f>D25*D26*D27</x:f>
        <x:v>1.2000000000000002</x:v>
      </x:c>
      <x:c r="E9" s="3"/>
      <x:c r="F9" s="3"/>
      <x:c r="G9" s="3"/>
      <x:c r="H9" s="1"/>
      <x:c r="I9" s="1"/>
      <x:c r="J9" s="1"/>
      <x:c r="K9" s="1"/>
      <x:c r="L9" s="1"/>
    </x:row>
    <x:row r="10" ht="22" customHeight="1">
      <x:c r="C10" s="1" t="str">
        <x:v>Operating EBITDA</x:v>
      </x:c>
      <x:c r="D10" s="3" t="n">
        <x:f>SUM(D8:D9)-D28</x:f>
        <x:v>139.2</x:v>
      </x:c>
      <x:c r="E10" s="3"/>
      <x:c r="F10" s="3"/>
      <x:c r="G10" s="3"/>
      <x:c r="H10" s="1"/>
      <x:c r="I10" s="1"/>
      <x:c r="J10" s="1"/>
      <x:c r="K10" s="1"/>
      <x:c r="L10" s="1"/>
    </x:row>
    <x:row r="11" ht="22" customHeight="1">
      <x:c r="C11" s="1" t="str">
        <x:v>JV equity profit share</x:v>
      </x:c>
      <x:c r="D11" s="3" t="n">
        <x:f>D29*D30</x:f>
        <x:v>0</x:v>
      </x:c>
      <x:c r="E11" s="3"/>
      <x:c r="F11" s="3"/>
      <x:c r="G11" s="3"/>
      <x:c r="H11" s="1"/>
      <x:c r="I11" s="1"/>
      <x:c r="J11" s="1"/>
      <x:c r="K11" s="1"/>
      <x:c r="L11" s="1"/>
    </x:row>
    <x:row r="12" ht="22" customHeight="1">
      <x:c r="C12" s="1" t="str">
        <x:v>Attributable earnings proxy</x:v>
      </x:c>
      <x:c r="D12" s="3" t="n">
        <x:f>SUM(D10:D11)</x:f>
        <x:v>139.2</x:v>
      </x:c>
      <x:c r="E12" s="3"/>
      <x:c r="F12" s="3"/>
      <x:c r="G12" s="3"/>
      <x:c r="H12" s="1"/>
      <x:c r="I12" s="1"/>
      <x:c r="J12" s="1"/>
      <x:c r="K12" s="1"/>
      <x:c r="L12" s="1"/>
    </x:row>
    <x:row r="13" ht="22" customHeight="1">
      <x:c r="C13" s="1" t="str">
        <x:v>Operating cash flow proxy</x:v>
      </x:c>
      <x:c r="D13" s="3" t="n">
        <x:f>D10-MAX(0,D10-D36)*D31-D32-D33+D34-D35</x:f>
        <x:v>-6.640000000000015</x:v>
      </x:c>
      <x:c r="E13" s="3"/>
      <x:c r="F13" s="3"/>
      <x:c r="G13" s="3"/>
      <x:c r="H13" s="1"/>
      <x:c r="I13" s="1"/>
      <x:c r="J13" s="1"/>
      <x:c r="K13" s="1"/>
      <x:c r="L13" s="1"/>
    </x:row>
    <x:row r="14" ht="22" customHeight="1">
      <x:c r="C14" s="1" t="str">
        <x:v>Within-horizon earnings proxy</x:v>
      </x:c>
      <x:c r="D14" s="3" t="n">
        <x:f>D12*D37</x:f>
        <x:v>90.47999999999999</x:v>
      </x:c>
      <x:c r="E14" s="3"/>
      <x:c r="F14" s="3"/>
      <x:c r="G14" s="3"/>
      <x:c r="H14" s="1"/>
      <x:c r="I14" s="1"/>
      <x:c r="J14" s="1"/>
      <x:c r="K14" s="1"/>
      <x:c r="L14" s="1"/>
    </x:row>
    <x:row r="15" ht="22" customHeight="1">
      <x:c r="C15" s="1"/>
      <x:c r="D15" s="3"/>
      <x:c r="E15" s="3"/>
      <x:c r="F15" s="3"/>
      <x:c r="G15" s="3"/>
      <x:c r="H15" s="1"/>
      <x:c r="I15" s="1"/>
      <x:c r="J15" s="1"/>
      <x:c r="K15" s="1"/>
      <x:c r="L15" s="1"/>
    </x:row>
    <x:row r="16" ht="22" customHeight="1">
      <x:c r="C16" s="1"/>
      <x:c r="D16" s="3"/>
      <x:c r="E16" s="3"/>
      <x:c r="F16" s="3"/>
      <x:c r="G16" s="3"/>
      <x:c r="H16" s="1"/>
      <x:c r="I16" s="1"/>
      <x:c r="J16" s="1"/>
      <x:c r="K16" s="1"/>
      <x:c r="L16" s="1"/>
    </x:row>
    <x:row r="17" ht="22" customHeight="1">
      <x:c r="C17" s="1"/>
      <x:c r="D17" s="3"/>
      <x:c r="E17" s="3"/>
      <x:c r="F17" s="3"/>
      <x:c r="G17" s="3"/>
      <x:c r="H17" s="1"/>
      <x:c r="I17" s="1"/>
      <x:c r="J17" s="1"/>
      <x:c r="K17" s="1"/>
      <x:c r="L17" s="1"/>
    </x:row>
    <x:row r="18" ht="25" customHeight="1">
      <x:c r="C18" s="8" t="str">
        <x:v>Scenario inputs</x:v>
      </x:c>
      <x:c r="D18" s="9" t="str">
        <x:v>Active</x:v>
      </x:c>
      <x:c r="E18" s="9" t="str">
        <x:v>Bear</x:v>
      </x:c>
      <x:c r="F18" s="9" t="str">
        <x:v>Base</x:v>
      </x:c>
      <x:c r="G18" s="9" t="str">
        <x:v>Bull</x:v>
      </x:c>
      <x:c r="H18" s="1"/>
      <x:c r="I18" s="1"/>
      <x:c r="J18" s="1"/>
      <x:c r="K18" s="1"/>
      <x:c r="L18" s="1"/>
    </x:row>
    <x:row r="19" ht="22" customHeight="1">
      <x:c r="C19" s="1" t="str">
        <x:v>Requested deliveries</x:v>
      </x:c>
      <x:c r="D19" s="3" t="n">
        <x:f>CHOOSE($D$3,E19,F19,G19)</x:f>
        <x:v>80</x:v>
      </x:c>
      <x:c r="E19" s="10" t="n">
        <x:v>50</x:v>
      </x:c>
      <x:c r="F19" s="10" t="n">
        <x:v>80</x:v>
      </x:c>
      <x:c r="G19" s="10" t="n">
        <x:v>100</x:v>
      </x:c>
      <x:c r="H19" s="1"/>
      <x:c r="I19" s="1"/>
      <x:c r="J19" s="1"/>
      <x:c r="K19" s="1"/>
      <x:c r="L19" s="1"/>
    </x:row>
    <x:row r="20" ht="22" customHeight="1">
      <x:c r="C20" s="1" t="str">
        <x:v>Production capacity</x:v>
      </x:c>
      <x:c r="D20" s="3" t="n">
        <x:f>CHOOSE($D$3,E20,F20,G20)</x:f>
        <x:v>100</x:v>
      </x:c>
      <x:c r="E20" s="10" t="n">
        <x:v>100</x:v>
      </x:c>
      <x:c r="F20" s="10" t="n">
        <x:v>100</x:v>
      </x:c>
      <x:c r="G20" s="10" t="n">
        <x:v>100</x:v>
      </x:c>
      <x:c r="H20" s="1"/>
      <x:c r="I20" s="1"/>
      <x:c r="J20" s="1"/>
      <x:c r="K20" s="1"/>
      <x:c r="L20" s="1"/>
    </x:row>
    <x:row r="21" ht="22" customHeight="1">
      <x:c r="C21" s="1" t="str">
        <x:v>Candidate engine pool</x:v>
      </x:c>
      <x:c r="D21" s="3" t="n">
        <x:f>CHOOSE($D$3,E21,F21,G21)</x:f>
        <x:v>200</x:v>
      </x:c>
      <x:c r="E21" s="10" t="n">
        <x:v>200</x:v>
      </x:c>
      <x:c r="F21" s="10" t="n">
        <x:v>200</x:v>
      </x:c>
      <x:c r="G21" s="10" t="n">
        <x:v>200</x:v>
      </x:c>
      <x:c r="H21" s="1"/>
      <x:c r="I21" s="1"/>
      <x:c r="J21" s="1"/>
      <x:c r="K21" s="1"/>
      <x:c r="L21" s="1"/>
    </x:row>
    <x:row r="22" ht="22" customHeight="1">
      <x:c r="C22" s="1" t="str">
        <x:v>Qualification yield</x:v>
      </x:c>
      <x:c r="D22" s="11" t="n">
        <x:f>CHOOSE($D$3,E22,F22,G22)</x:f>
        <x:v>0.7</x:v>
      </x:c>
      <x:c r="E22" s="12" t="n">
        <x:v>0.7</x:v>
      </x:c>
      <x:c r="F22" s="12" t="n">
        <x:v>0.7</x:v>
      </x:c>
      <x:c r="G22" s="12" t="n">
        <x:v>0.7</x:v>
      </x:c>
      <x:c r="H22" s="1"/>
      <x:c r="I22" s="1"/>
      <x:c r="J22" s="1"/>
      <x:c r="K22" s="1"/>
      <x:c r="L22" s="1"/>
    </x:row>
    <x:row r="23" ht="22" customHeight="1">
      <x:c r="C23" s="1" t="str">
        <x:v>FTAI turbine ASP (USD m)</x:v>
      </x:c>
      <x:c r="D23" s="3" t="n">
        <x:f>CHOOSE($D$3,E23,F23,G23)</x:f>
        <x:v>6</x:v>
      </x:c>
      <x:c r="E23" s="10" t="n">
        <x:v>5</x:v>
      </x:c>
      <x:c r="F23" s="10" t="n">
        <x:v>6</x:v>
      </x:c>
      <x:c r="G23" s="10" t="n">
        <x:v>7</x:v>
      </x:c>
      <x:c r="H23" s="1"/>
      <x:c r="I23" s="1"/>
      <x:c r="J23" s="1"/>
      <x:c r="K23" s="1"/>
      <x:c r="L23" s="1"/>
    </x:row>
    <x:row r="24" ht="22" customHeight="1">
      <x:c r="C24" s="1" t="str">
        <x:v>Turbine gross margin</x:v>
      </x:c>
      <x:c r="D24" s="11" t="n">
        <x:f>CHOOSE($D$3,E24,F24,G24)</x:f>
        <x:v>0.35</x:v>
      </x:c>
      <x:c r="E24" s="12" t="n">
        <x:v>0.25</x:v>
      </x:c>
      <x:c r="F24" s="12" t="n">
        <x:v>0.35</x:v>
      </x:c>
      <x:c r="G24" s="12" t="n">
        <x:v>0.4</x:v>
      </x:c>
      <x:c r="H24" s="1"/>
      <x:c r="I24" s="1"/>
      <x:c r="J24" s="1"/>
      <x:c r="K24" s="1"/>
      <x:c r="L24" s="1"/>
    </x:row>
    <x:row r="25" ht="22" customHeight="1">
      <x:c r="C25" s="1" t="str">
        <x:v>Average serviced units</x:v>
      </x:c>
      <x:c r="D25" s="3" t="n">
        <x:f>CHOOSE($D$3,E25,F25,G25)</x:f>
        <x:v>20</x:v>
      </x:c>
      <x:c r="E25" s="10" t="n">
        <x:v>20</x:v>
      </x:c>
      <x:c r="F25" s="10" t="n">
        <x:v>20</x:v>
      </x:c>
      <x:c r="G25" s="10" t="n">
        <x:v>20</x:v>
      </x:c>
      <x:c r="H25" s="1"/>
      <x:c r="I25" s="1"/>
      <x:c r="J25" s="1"/>
      <x:c r="K25" s="1"/>
      <x:c r="L25" s="1"/>
    </x:row>
    <x:row r="26" ht="22" customHeight="1">
      <x:c r="C26" s="1" t="str">
        <x:v>Annual service revenue / unit (USD m)</x:v>
      </x:c>
      <x:c r="D26" s="21" t="n">
        <x:f>CHOOSE($D$3,E26,F26,G26)</x:f>
        <x:v>0.15</x:v>
      </x:c>
      <x:c r="E26" s="22" t="n">
        <x:v>0.15</x:v>
      </x:c>
      <x:c r="F26" s="22" t="n">
        <x:v>0.15</x:v>
      </x:c>
      <x:c r="G26" s="22" t="n">
        <x:v>0.15</x:v>
      </x:c>
      <x:c r="H26" s="1"/>
      <x:c r="I26" s="1"/>
      <x:c r="J26" s="1"/>
      <x:c r="K26" s="1"/>
      <x:c r="L26" s="1"/>
    </x:row>
    <x:row r="27" ht="22" customHeight="1">
      <x:c r="C27" s="1" t="str">
        <x:v>Service gross margin</x:v>
      </x:c>
      <x:c r="D27" s="11" t="n">
        <x:f>CHOOSE($D$3,E27,F27,G27)</x:f>
        <x:v>0.4</x:v>
      </x:c>
      <x:c r="E27" s="12" t="n">
        <x:v>0.4</x:v>
      </x:c>
      <x:c r="F27" s="12" t="n">
        <x:v>0.4</x:v>
      </x:c>
      <x:c r="G27" s="12" t="n">
        <x:v>0.4</x:v>
      </x:c>
      <x:c r="H27" s="1"/>
      <x:c r="I27" s="1"/>
      <x:c r="J27" s="1"/>
      <x:c r="K27" s="1"/>
      <x:c r="L27" s="1"/>
    </x:row>
    <x:row r="28" ht="22" customHeight="1">
      <x:c r="C28" s="1" t="str">
        <x:v>Operating costs (USD m)</x:v>
      </x:c>
      <x:c r="D28" s="3" t="n">
        <x:f>CHOOSE($D$3,E28,F28,G28)</x:f>
        <x:v>30</x:v>
      </x:c>
      <x:c r="E28" s="10" t="n">
        <x:v>40</x:v>
      </x:c>
      <x:c r="F28" s="10" t="n">
        <x:v>30</x:v>
      </x:c>
      <x:c r="G28" s="10" t="n">
        <x:v>25</x:v>
      </x:c>
      <x:c r="H28" s="1"/>
      <x:c r="I28" s="1"/>
      <x:c r="J28" s="1"/>
      <x:c r="K28" s="1"/>
      <x:c r="L28" s="1"/>
    </x:row>
    <x:row r="29" ht="22" customHeight="1">
      <x:c r="C29" s="1" t="str">
        <x:v>JV profit after turbine purchases (USD m)</x:v>
      </x:c>
      <x:c r="D29" s="3" t="n">
        <x:f>CHOOSE($D$3,E29,F29,G29)</x:f>
        <x:v>0</x:v>
      </x:c>
      <x:c r="E29" s="10" t="n">
        <x:v>0</x:v>
      </x:c>
      <x:c r="F29" s="10" t="n">
        <x:v>0</x:v>
      </x:c>
      <x:c r="G29" s="10" t="n">
        <x:v>0</x:v>
      </x:c>
      <x:c r="H29" s="1"/>
      <x:c r="I29" s="1"/>
      <x:c r="J29" s="1"/>
      <x:c r="K29" s="1"/>
      <x:c r="L29" s="1"/>
    </x:row>
    <x:row r="30" ht="22" customHeight="1">
      <x:c r="C30" s="1" t="str">
        <x:v>FTAI JV share (unverified)</x:v>
      </x:c>
      <x:c r="D30" s="11" t="n">
        <x:f>CHOOSE($D$3,E30,F30,G30)</x:f>
        <x:v>0</x:v>
      </x:c>
      <x:c r="E30" s="12" t="n">
        <x:v>0</x:v>
      </x:c>
      <x:c r="F30" s="12" t="n">
        <x:v>0</x:v>
      </x:c>
      <x:c r="G30" s="12" t="n">
        <x:v>0</x:v>
      </x:c>
      <x:c r="H30" s="1"/>
      <x:c r="I30" s="1"/>
      <x:c r="J30" s="1"/>
      <x:c r="K30" s="1"/>
      <x:c r="L30" s="1"/>
    </x:row>
    <x:row r="31" ht="22" customHeight="1">
      <x:c r="C31" s="1" t="str">
        <x:v>Operating cash tax rate</x:v>
      </x:c>
      <x:c r="D31" s="11" t="n">
        <x:f>CHOOSE($D$3,E31,F31,G31)</x:f>
        <x:v>0.2</x:v>
      </x:c>
      <x:c r="E31" s="12" t="n">
        <x:v>0.2</x:v>
      </x:c>
      <x:c r="F31" s="12" t="n">
        <x:v>0.2</x:v>
      </x:c>
      <x:c r="G31" s="12" t="n">
        <x:v>0.2</x:v>
      </x:c>
      <x:c r="H31" s="1"/>
      <x:c r="I31" s="1"/>
      <x:c r="J31" s="1"/>
      <x:c r="K31" s="1"/>
      <x:c r="L31" s="1"/>
    </x:row>
    <x:row r="32" ht="22" customHeight="1">
      <x:c r="C32" s="1" t="str">
        <x:v>Capital expenditure (USD m)</x:v>
      </x:c>
      <x:c r="D32" s="3" t="n">
        <x:f>CHOOSE($D$3,E32,F32,G32)</x:f>
        <x:v>80</x:v>
      </x:c>
      <x:c r="E32" s="10" t="n">
        <x:v>100</x:v>
      </x:c>
      <x:c r="F32" s="10" t="n">
        <x:v>80</x:v>
      </x:c>
      <x:c r="G32" s="10" t="n">
        <x:v>60</x:v>
      </x:c>
      <x:c r="H32" s="1"/>
      <x:c r="I32" s="1"/>
      <x:c r="J32" s="1"/>
      <x:c r="K32" s="1"/>
      <x:c r="L32" s="1"/>
    </x:row>
    <x:row r="33" ht="22" customHeight="1">
      <x:c r="C33" s="1" t="str">
        <x:v>Increase in working capital (USD m)</x:v>
      </x:c>
      <x:c r="D33" s="3" t="n">
        <x:f>CHOOSE($D$3,E33,F33,G33)</x:f>
        <x:v>40</x:v>
      </x:c>
      <x:c r="E33" s="10" t="n">
        <x:v>60</x:v>
      </x:c>
      <x:c r="F33" s="10" t="n">
        <x:v>40</x:v>
      </x:c>
      <x:c r="G33" s="10" t="n">
        <x:v>30</x:v>
      </x:c>
      <x:c r="H33" s="1"/>
      <x:c r="I33" s="1"/>
      <x:c r="J33" s="1"/>
      <x:c r="K33" s="1"/>
      <x:c r="L33" s="1"/>
    </x:row>
    <x:row r="34" ht="22" customHeight="1">
      <x:c r="C34" s="1" t="str">
        <x:v>FTAI attributable advances (USD m)</x:v>
      </x:c>
      <x:c r="D34" s="3" t="n">
        <x:f>CHOOSE($D$3,E34,F34,G34)</x:f>
        <x:v>0</x:v>
      </x:c>
      <x:c r="E34" s="10" t="n">
        <x:v>0</x:v>
      </x:c>
      <x:c r="F34" s="10" t="n">
        <x:v>0</x:v>
      </x:c>
      <x:c r="G34" s="10" t="n">
        <x:v>0</x:v>
      </x:c>
      <x:c r="H34" s="1"/>
      <x:c r="I34" s="1"/>
      <x:c r="J34" s="1"/>
      <x:c r="K34" s="1"/>
      <x:c r="L34" s="1"/>
    </x:row>
    <x:row r="35" ht="22" customHeight="1">
      <x:c r="C35" s="1" t="str">
        <x:v>Advances applied to sales (USD m)</x:v>
      </x:c>
      <x:c r="D35" s="3" t="n">
        <x:f>CHOOSE($D$3,E35,F35,G35)</x:f>
        <x:v>0</x:v>
      </x:c>
      <x:c r="E35" s="10" t="n">
        <x:v>0</x:v>
      </x:c>
      <x:c r="F35" s="10" t="n">
        <x:v>0</x:v>
      </x:c>
      <x:c r="G35" s="10" t="n">
        <x:v>0</x:v>
      </x:c>
      <x:c r="H35" s="1"/>
      <x:c r="I35" s="1"/>
      <x:c r="J35" s="1"/>
      <x:c r="K35" s="1"/>
      <x:c r="L35" s="1"/>
    </x:row>
    <x:row r="36" ht="22" customHeight="1">
      <x:c r="C36" s="1" t="str">
        <x:v>Depreciation (USD m)</x:v>
      </x:c>
      <x:c r="D36" s="3" t="n">
        <x:f>CHOOSE($D$3,E36,F36,G36)</x:f>
        <x:v>10</x:v>
      </x:c>
      <x:c r="E36" s="10" t="n">
        <x:v>10</x:v>
      </x:c>
      <x:c r="F36" s="10" t="n">
        <x:v>10</x:v>
      </x:c>
      <x:c r="G36" s="10" t="n">
        <x:v>10</x:v>
      </x:c>
      <x:c r="H36" s="1"/>
      <x:c r="I36" s="1"/>
      <x:c r="J36" s="1"/>
      <x:c r="K36" s="1"/>
      <x:c r="L36" s="1"/>
    </x:row>
    <x:row r="37" ht="22" customHeight="1">
      <x:c r="C37" s="1" t="str">
        <x:v>Within-horizon fraction</x:v>
      </x:c>
      <x:c r="D37" s="11" t="n">
        <x:f>CHOOSE($D$3,E37,F37,G37)</x:f>
        <x:v>0.65</x:v>
      </x:c>
      <x:c r="E37" s="12" t="n">
        <x:v>0.4</x:v>
      </x:c>
      <x:c r="F37" s="12" t="n">
        <x:v>0.65</x:v>
      </x:c>
      <x:c r="G37" s="12" t="n">
        <x:v>0.8</x:v>
      </x:c>
      <x:c r="H37" s="1"/>
      <x:c r="I37" s="1"/>
      <x:c r="J37" s="1"/>
      <x:c r="K37" s="1"/>
      <x:c r="L37" s="1"/>
    </x:row>
    <x:row r="38" ht="22" customHeight="1">
      <x:c r="C38" s="1" t="str">
        <x:v>Delivery penalty sensitivity</x:v>
      </x:c>
      <x:c r="D38" s="11" t="n">
        <x:f>CHOOSE($D$3,E38,F38,G38)</x:f>
        <x:v>0</x:v>
      </x:c>
      <x:c r="E38" s="12" t="n">
        <x:v>0</x:v>
      </x:c>
      <x:c r="F38" s="12" t="n">
        <x:v>0</x:v>
      </x:c>
      <x:c r="G38" s="12" t="n">
        <x:v>0</x:v>
      </x:c>
      <x:c r="H38" s="1"/>
      <x:c r="I38" s="1"/>
      <x:c r="J38" s="1"/>
      <x:c r="K38" s="1"/>
      <x:c r="L38" s="1"/>
    </x:row>
    <x:row r="39" ht="22" customHeight="1">
      <x:c r="C39" s="1" t="str">
        <x:v>Performance penalty sensitivity</x:v>
      </x:c>
      <x:c r="D39" s="11" t="n">
        <x:f>CHOOSE($D$3,E39,F39,G39)</x:f>
        <x:v>0</x:v>
      </x:c>
      <x:c r="E39" s="12" t="n">
        <x:v>0</x:v>
      </x:c>
      <x:c r="F39" s="12" t="n">
        <x:v>0</x:v>
      </x:c>
      <x:c r="G39" s="12" t="n">
        <x:v>0</x:v>
      </x:c>
      <x:c r="H39" s="1"/>
      <x:c r="I39" s="1"/>
      <x:c r="J39" s="1"/>
      <x:c r="K39" s="1"/>
      <x:c r="L39" s="1"/>
    </x:row>
    <x:row r="40" ht="22" customHeight="1">
      <x:c r="C40" s="1"/>
      <x:c r="D40" s="3"/>
      <x:c r="E40" s="3"/>
      <x:c r="F40" s="3"/>
      <x:c r="G40" s="3"/>
      <x:c r="H40" s="1"/>
      <x:c r="I40" s="1"/>
      <x:c r="J40" s="1"/>
      <x:c r="K40" s="1"/>
      <x:c r="L40" s="1"/>
    </x:row>
    <x:row r="41" ht="22" customHeight="1">
      <x:c r="C41" s="1"/>
      <x:c r="D41" s="3"/>
      <x:c r="E41" s="3"/>
      <x:c r="F41" s="3"/>
      <x:c r="G41" s="3"/>
      <x:c r="H41" s="1"/>
      <x:c r="I41" s="1"/>
      <x:c r="J41" s="1"/>
      <x:c r="K41" s="1"/>
      <x:c r="L41" s="1"/>
    </x:row>
    <x:row r="42" ht="22" customHeight="1">
      <x:c r="C42" s="1" t="str">
        <x:v>All commercial inputs are scenarios, not disclosed guidance.</x:v>
      </x:c>
      <x:c r="D42" s="3"/>
      <x:c r="E42" s="3"/>
      <x:c r="F42" s="3"/>
      <x:c r="G42" s="3"/>
      <x:c r="H42" s="1"/>
      <x:c r="I42" s="1"/>
      <x:c r="J42" s="1"/>
      <x:c r="K42" s="1"/>
      <x:c r="L42" s="1"/>
    </x:row>
    <x:row r="43" ht="22" customHeight="1">
      <x:c r="C43" s="1" t="str">
        <x:v>JV profit must be after turbine purchases; default attribution is zero.</x:v>
      </x:c>
      <x:c r="D43" s="3"/>
      <x:c r="E43" s="3"/>
      <x:c r="F43" s="3"/>
      <x:c r="G43" s="3"/>
      <x:c r="H43" s="1"/>
      <x:c r="I43" s="1"/>
      <x:c r="J43" s="1"/>
      <x:c r="K43" s="1"/>
      <x:c r="L43" s="1"/>
    </x:row>
    <x:row r="44" ht="22" customHeight="1">
      <x:c r="C44" s="1" t="str">
        <x:v>Operating cash proxy excludes JV distributions.</x:v>
      </x:c>
      <x:c r="D44" s="3"/>
      <x:c r="E44" s="3"/>
      <x:c r="F44" s="3"/>
      <x:c r="G44" s="3"/>
      <x:c r="H44" s="1"/>
      <x:c r="I44" s="1"/>
      <x:c r="J44" s="1"/>
      <x:c r="K44" s="1"/>
      <x:c r="L44" s="1"/>
    </x:row>
    <x:row r="45" ht="22" customHeight="1">
      <x:c r="C45" s="1" t="str">
        <x:v>FY2027 output is not entirely inside the October 2027 horizon.</x:v>
      </x:c>
      <x:c r="D45" s="3"/>
      <x:c r="E45" s="3"/>
      <x:c r="F45" s="3"/>
      <x:c r="G45" s="3"/>
      <x:c r="H45" s="1"/>
      <x:c r="I45" s="1"/>
      <x:c r="J45" s="1"/>
      <x:c r="K45" s="1"/>
      <x:c r="L45" s="1"/>
    </x:row>
    <x:row r="46" ht="22" customHeight="1">
      <x:c r="C46" s="1" t="str">
        <x:v>Penalty pass-through from J&amp;F to FTAI is unknown.</x:v>
      </x:c>
      <x:c r="D46" s="3"/>
      <x:c r="E46" s="3"/>
      <x:c r="F46" s="3"/>
      <x:c r="G46" s="3"/>
      <x:c r="H46" s="1"/>
      <x:c r="I46" s="1"/>
      <x:c r="J46" s="1"/>
      <x:c r="K46" s="1"/>
      <x:c r="L46" s="1"/>
    </x:row>
    <x:row r="47" ht="22" customHeight="1">
      <x:c r="C47" s="1"/>
      <x:c r="D47" s="3"/>
      <x:c r="E47" s="3"/>
      <x:c r="F47" s="3"/>
      <x:c r="G47" s="3"/>
      <x:c r="H47" s="1"/>
      <x:c r="I47" s="1"/>
      <x:c r="J47" s="1"/>
      <x:c r="K47" s="1"/>
      <x:c r="L47" s="1"/>
    </x:row>
    <x:row r="48" ht="22" customHeight="1">
      <x:c r="C48" s="1"/>
      <x:c r="D48" s="3"/>
      <x:c r="E48" s="3"/>
      <x:c r="F48" s="3"/>
      <x:c r="G48" s="3"/>
      <x:c r="H48" s="1"/>
      <x:c r="I48" s="1"/>
      <x:c r="J48" s="1"/>
      <x:c r="K48" s="1"/>
      <x:c r="L48" s="1"/>
    </x:row>
    <x:row r="49" ht="22" customHeight="1">
      <x:c r="C49" s="1"/>
      <x:c r="D49" s="3"/>
      <x:c r="E49" s="3"/>
      <x:c r="F49" s="3"/>
      <x:c r="G49" s="3"/>
      <x:c r="H49" s="1"/>
      <x:c r="I49" s="1"/>
      <x:c r="J49" s="1"/>
      <x:c r="K49" s="1"/>
      <x:c r="L49" s="1"/>
    </x:row>
    <x:row r="50" ht="22" customHeight="1">
      <x:c r="C50" s="1"/>
      <x:c r="D50" s="3"/>
      <x:c r="E50" s="3"/>
      <x:c r="F50" s="3"/>
      <x:c r="G50" s="3"/>
      <x:c r="H50" s="1"/>
      <x:c r="I50" s="1"/>
      <x:c r="J50" s="1"/>
      <x:c r="K50" s="1"/>
      <x:c r="L50" s="1"/>
    </x:row>
    <x:row r="51" ht="22" customHeight="1">
      <x:c r="C51" s="1"/>
      <x:c r="D51" s="3"/>
      <x:c r="E51" s="3"/>
      <x:c r="F51" s="3"/>
      <x:c r="G51" s="3"/>
      <x:c r="H51" s="1"/>
      <x:c r="I51" s="1"/>
      <x:c r="J51" s="1"/>
      <x:c r="K51" s="1"/>
      <x:c r="L51" s="1"/>
    </x:row>
    <x:row r="52" ht="22" customHeight="1">
      <x:c r="C52" s="1"/>
      <x:c r="D52" s="3"/>
      <x:c r="E52" s="3"/>
      <x:c r="F52" s="3"/>
      <x:c r="G52" s="3"/>
      <x:c r="H52" s="1"/>
      <x:c r="I52" s="1"/>
      <x:c r="J52" s="1"/>
      <x:c r="K52" s="1"/>
      <x:c r="L52" s="1"/>
    </x:row>
    <x:row r="53" ht="22" customHeight="1">
      <x:c r="C53" s="1"/>
      <x:c r="D53" s="3"/>
      <x:c r="E53" s="3"/>
      <x:c r="F53" s="3"/>
      <x:c r="G53" s="3"/>
      <x:c r="H53" s="1"/>
      <x:c r="I53" s="1"/>
      <x:c r="J53" s="1"/>
      <x:c r="K53" s="1"/>
      <x:c r="L53" s="1"/>
    </x:row>
    <x:row r="54" ht="22" customHeight="1">
      <x:c r="C54" s="1"/>
      <x:c r="D54" s="3"/>
      <x:c r="E54" s="3"/>
      <x:c r="F54" s="3"/>
      <x:c r="G54" s="3"/>
      <x:c r="H54" s="1"/>
      <x:c r="I54" s="1"/>
      <x:c r="J54" s="1"/>
      <x:c r="K54" s="1"/>
      <x:c r="L54" s="1"/>
    </x:row>
  </x:sheetData>
  <x:dataValidations count="1">
    <x:dataValidation type="whole" operator="between" sqref="D3">
      <x:formula1>1</x:formula1>
      <x:formula2>3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2" ht="22" customHeight="1">
      <x:c r="C2" s="2" t="str">
        <x:v>Customer speed-to-power economics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C3" s="1" t="str">
        <x:v>Discounted USD / expected operating MW-month</x:v>
      </x:c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5" customHeight="1">
      <x:c r="C5" s="8" t="str">
        <x:v>Customer model result</x:v>
      </x:c>
      <x:c r="D5" s="9" t="str">
        <x:v>USD / units</x:v>
      </x:c>
      <x:c r="E5" s="3"/>
      <x:c r="F5" s="3"/>
      <x:c r="G5" s="3"/>
      <x:c r="H5" s="1"/>
      <x:c r="I5" s="1"/>
      <x:c r="J5" s="1"/>
      <x:c r="K5" s="1"/>
      <x:c r="L5" s="1"/>
    </x:row>
    <x:row r="6" ht="22" customHeight="1">
      <x:c r="C6" s="1" t="str">
        <x:v>Break-even contribution vs competing turbine</x:v>
      </x:c>
      <x:c r="D6" s="3" t="n">
        <x:f>IF(SUM(I41:I160)-SUM(J41:J160)&gt;0,MAX(0,(SUM(E41:E160,G41:G160)-SUM(F41:F160,H41:H160))/(SUM(I41:I160)-SUM(J41:J160))),"n.a.")</x:f>
        <x:v>66597.84989781557</x:v>
      </x:c>
      <x:c r="E6" s="3"/>
      <x:c r="F6" s="3"/>
      <x:c r="G6" s="3"/>
      <x:c r="H6" s="1"/>
      <x:c r="I6" s="1"/>
      <x:c r="J6" s="1"/>
      <x:c r="K6" s="1"/>
      <x:c r="L6" s="1"/>
    </x:row>
    <x:row r="7" ht="22" customHeight="1">
      <x:c r="C7" s="1" t="str">
        <x:v>Customer NPV advantage (USD m)</x:v>
      </x:c>
      <x:c r="D7" s="3" t="n">
        <x:f>((SUM(I41:I160)-SUM(J41:J160))*D32-(SUM(E41:E160,G41:G160)-SUM(F41:F160,H41:H160)))/1000000</x:f>
        <x:v>23.987990673686102</x:v>
      </x:c>
      <x:c r="E7" s="3"/>
      <x:c r="F7" s="3"/>
      <x:c r="G7" s="3"/>
      <x:c r="H7" s="1"/>
      <x:c r="I7" s="1"/>
      <x:c r="J7" s="1"/>
      <x:c r="K7" s="1"/>
      <x:c r="L7" s="1"/>
    </x:row>
    <x:row r="8" ht="22" customHeight="1">
      <x:c r="C8" s="1" t="str">
        <x:v>Mod-1 fuel + maintenance (USD/MWh)</x:v>
      </x:c>
      <x:c r="D8" s="3" t="n">
        <x:f>D17*D18/1000+D20</x:f>
        <x:v>52</x:v>
      </x:c>
      <x:c r="E8" s="3"/>
      <x:c r="F8" s="3"/>
      <x:c r="G8" s="3"/>
      <x:c r="H8" s="1"/>
      <x:c r="I8" s="1"/>
      <x:c r="J8" s="1"/>
      <x:c r="K8" s="1"/>
      <x:c r="L8" s="1"/>
    </x:row>
    <x:row r="9" ht="22" customHeight="1">
      <x:c r="C9" s="1" t="str">
        <x:v>Break-even contribution vs waiting for grid</x:v>
      </x:c>
      <x:c r="D9" s="3" t="n">
        <x:f>IF(SUM(I41:I160)-SUM(L41:L160)&gt;0,MAX(0,(SUM(E41:E160,G41:G160)-SUM(K41:K160))/(SUM(I41:I160)-SUM(L41:L160))),"n.a.")</x:f>
        <x:v>89145.51175103032</x:v>
      </x:c>
      <x:c r="E9" s="3"/>
      <x:c r="F9" s="3"/>
      <x:c r="G9" s="3"/>
      <x:c r="H9" s="1"/>
      <x:c r="I9" s="1"/>
      <x:c r="J9" s="1"/>
      <x:c r="K9" s="1"/>
      <x:c r="L9" s="1"/>
    </x:row>
    <x:row r="10" ht="22" customHeight="1">
      <x:c r="C10" s="1"/>
      <x:c r="D10" s="3"/>
      <x:c r="E10" s="3"/>
      <x:c r="F10" s="3"/>
      <x:c r="G10" s="3"/>
      <x:c r="H10" s="1"/>
      <x:c r="I10" s="1"/>
      <x:c r="J10" s="1"/>
      <x:c r="K10" s="1"/>
      <x:c r="L10" s="1"/>
    </x:row>
    <x:row r="11" ht="22" customHeight="1">
      <x:c r="C11" s="1"/>
      <x:c r="D11" s="3"/>
      <x:c r="E11" s="3"/>
      <x:c r="F11" s="3"/>
      <x:c r="G11" s="3"/>
      <x:c r="H11" s="1"/>
      <x:c r="I11" s="1"/>
      <x:c r="J11" s="1"/>
      <x:c r="K11" s="1"/>
      <x:c r="L11" s="1"/>
    </x:row>
    <x:row r="12" ht="25" customHeight="1">
      <x:c r="C12" s="8" t="str">
        <x:v>Customer assumptions</x:v>
      </x:c>
      <x:c r="D12" s="9" t="str">
        <x:v>Value</x:v>
      </x:c>
      <x:c r="E12" s="3"/>
      <x:c r="F12" s="3"/>
      <x:c r="G12" s="3"/>
      <x:c r="H12" s="1"/>
      <x:c r="I12" s="1"/>
      <x:c r="J12" s="1"/>
      <x:c r="K12" s="1"/>
      <x:c r="L12" s="1"/>
    </x:row>
    <x:row r="13" ht="22" customHeight="1">
      <x:c r="C13" s="1" t="str">
        <x:v>Installed capacity (MW)</x:v>
      </x:c>
      <x:c r="D13" s="10" t="n">
        <x:v>100</x:v>
      </x:c>
      <x:c r="E13" s="3"/>
      <x:c r="F13" s="3"/>
      <x:c r="G13" s="3"/>
      <x:c r="H13" s="1"/>
      <x:c r="I13" s="1"/>
      <x:c r="J13" s="1"/>
      <x:c r="K13" s="1"/>
      <x:c r="L13" s="1"/>
    </x:row>
    <x:row r="14" ht="22" customHeight="1">
      <x:c r="C14" s="1" t="str">
        <x:v>Site output derating</x:v>
      </x:c>
      <x:c r="D14" s="12" t="n">
        <x:v>0.1</x:v>
      </x:c>
      <x:c r="E14" s="3"/>
      <x:c r="F14" s="3"/>
      <x:c r="G14" s="3"/>
      <x:c r="H14" s="1"/>
      <x:c r="I14" s="1"/>
      <x:c r="J14" s="1"/>
      <x:c r="K14" s="1"/>
      <x:c r="L14" s="1"/>
    </x:row>
    <x:row r="15" ht="22" customHeight="1">
      <x:c r="C15" s="1" t="str">
        <x:v>Availability</x:v>
      </x:c>
      <x:c r="D15" s="12" t="n">
        <x:v>0.95</x:v>
      </x:c>
      <x:c r="E15" s="3"/>
      <x:c r="F15" s="3"/>
      <x:c r="G15" s="3"/>
      <x:c r="H15" s="1"/>
      <x:c r="I15" s="1"/>
      <x:c r="J15" s="1"/>
      <x:c r="K15" s="1"/>
      <x:c r="L15" s="1"/>
    </x:row>
    <x:row r="16" ht="22" customHeight="1">
      <x:c r="C16" s="1" t="str">
        <x:v>Utilization</x:v>
      </x:c>
      <x:c r="D16" s="12" t="n">
        <x:v>0.85</x:v>
      </x:c>
      <x:c r="E16" s="3"/>
      <x:c r="F16" s="3"/>
      <x:c r="G16" s="3"/>
      <x:c r="H16" s="1"/>
      <x:c r="I16" s="1"/>
      <x:c r="J16" s="1"/>
      <x:c r="K16" s="1"/>
      <x:c r="L16" s="1"/>
    </x:row>
    <x:row r="17" ht="22" customHeight="1">
      <x:c r="C17" s="1" t="str">
        <x:v>Gas price (USD/MMBtu LHV)</x:v>
      </x:c>
      <x:c r="D17" s="10" t="n">
        <x:v>4</x:v>
      </x:c>
      <x:c r="E17" s="3"/>
      <x:c r="F17" s="3"/>
      <x:c r="G17" s="3"/>
      <x:c r="H17" s="1"/>
      <x:c r="I17" s="1"/>
      <x:c r="J17" s="1"/>
      <x:c r="K17" s="1"/>
      <x:c r="L17" s="1"/>
    </x:row>
    <x:row r="18" ht="22" customHeight="1">
      <x:c r="C18" s="1" t="str">
        <x:v>Mod-1 assumed heat rate (Btu/kWh LHV)</x:v>
      </x:c>
      <x:c r="D18" s="10" t="n">
        <x:v>11000</x:v>
      </x:c>
      <x:c r="E18" s="3"/>
      <x:c r="F18" s="3"/>
      <x:c r="G18" s="3"/>
      <x:c r="H18" s="1"/>
      <x:c r="I18" s="1"/>
      <x:c r="J18" s="1"/>
      <x:c r="K18" s="1"/>
      <x:c r="L18" s="1"/>
    </x:row>
    <x:row r="19" ht="22" customHeight="1">
      <x:c r="C19" s="1" t="str">
        <x:v>Competitor heat rate (Btu/kWh LHV)</x:v>
      </x:c>
      <x:c r="D19" s="10" t="n">
        <x:v>8669</x:v>
      </x:c>
      <x:c r="E19" s="3"/>
      <x:c r="F19" s="3"/>
      <x:c r="G19" s="3"/>
      <x:c r="H19" s="1"/>
      <x:c r="I19" s="1"/>
      <x:c r="J19" s="1"/>
      <x:c r="K19" s="1"/>
      <x:c r="L19" s="1"/>
    </x:row>
    <x:row r="20" ht="22" customHeight="1">
      <x:c r="C20" s="1" t="str">
        <x:v>Mod-1 maintenance (USD/MWh)</x:v>
      </x:c>
      <x:c r="D20" s="10" t="n">
        <x:v>8</x:v>
      </x:c>
      <x:c r="E20" s="3"/>
      <x:c r="F20" s="3"/>
      <x:c r="G20" s="3"/>
      <x:c r="H20" s="1"/>
      <x:c r="I20" s="1"/>
      <x:c r="J20" s="1"/>
      <x:c r="K20" s="1"/>
      <x:c r="L20" s="1"/>
    </x:row>
    <x:row r="21" ht="22" customHeight="1">
      <x:c r="C21" s="1" t="str">
        <x:v>Competitor maintenance (USD/MWh)</x:v>
      </x:c>
      <x:c r="D21" s="10" t="n">
        <x:v>6</x:v>
      </x:c>
      <x:c r="E21" s="3"/>
      <x:c r="F21" s="3"/>
      <x:c r="G21" s="3"/>
      <x:c r="H21" s="1"/>
      <x:c r="I21" s="1"/>
      <x:c r="J21" s="1"/>
      <x:c r="K21" s="1"/>
      <x:c r="L21" s="1"/>
    </x:row>
    <x:row r="22" ht="22" customHeight="1">
      <x:c r="C22" s="1" t="str">
        <x:v>Mod-1 equipment cost (USD m/MW)</x:v>
      </x:c>
      <x:c r="D22" s="22" t="n">
        <x:v>0.85</x:v>
      </x:c>
      <x:c r="E22" s="3"/>
      <x:c r="F22" s="3"/>
      <x:c r="G22" s="3"/>
      <x:c r="H22" s="1"/>
      <x:c r="I22" s="1"/>
      <x:c r="J22" s="1"/>
      <x:c r="K22" s="1"/>
      <x:c r="L22" s="1"/>
    </x:row>
    <x:row r="23" ht="22" customHeight="1">
      <x:c r="C23" s="1" t="str">
        <x:v>Competitor equipment cost (USD m/MW)</x:v>
      </x:c>
      <x:c r="D23" s="22" t="n">
        <x:v>0.9</x:v>
      </x:c>
      <x:c r="E23" s="3"/>
      <x:c r="F23" s="3"/>
      <x:c r="G23" s="3"/>
      <x:c r="H23" s="1"/>
      <x:c r="I23" s="1"/>
      <x:c r="J23" s="1"/>
      <x:c r="K23" s="1"/>
      <x:c r="L23" s="1"/>
    </x:row>
    <x:row r="24" ht="22" customHeight="1">
      <x:c r="C24" s="1" t="str">
        <x:v>Mod-1 control cost (USD m/MW)</x:v>
      </x:c>
      <x:c r="D24" s="22" t="n">
        <x:v>0.08</x:v>
      </x:c>
      <x:c r="E24" s="3"/>
      <x:c r="F24" s="3"/>
      <x:c r="G24" s="3"/>
      <x:c r="H24" s="1"/>
      <x:c r="I24" s="1"/>
      <x:c r="J24" s="1"/>
      <x:c r="K24" s="1"/>
      <x:c r="L24" s="1"/>
    </x:row>
    <x:row r="25" ht="22" customHeight="1">
      <x:c r="C25" s="1" t="str">
        <x:v>Competitor control cost (USD m/MW)</x:v>
      </x:c>
      <x:c r="D25" s="22" t="n">
        <x:v>0.08</x:v>
      </x:c>
      <x:c r="E25" s="3"/>
      <x:c r="F25" s="3"/>
      <x:c r="G25" s="3"/>
      <x:c r="H25" s="1"/>
      <x:c r="I25" s="1"/>
      <x:c r="J25" s="1"/>
      <x:c r="K25" s="1"/>
      <x:c r="L25" s="1"/>
    </x:row>
    <x:row r="26" ht="22" customHeight="1">
      <x:c r="C26" s="1" t="str">
        <x:v>Redundancy capacity overhead</x:v>
      </x:c>
      <x:c r="D26" s="12" t="n">
        <x:v>0.1</x:v>
      </x:c>
      <x:c r="E26" s="3"/>
      <x:c r="F26" s="3"/>
      <x:c r="G26" s="3"/>
      <x:c r="H26" s="1"/>
      <x:c r="I26" s="1"/>
      <x:c r="J26" s="1"/>
      <x:c r="K26" s="1"/>
      <x:c r="L26" s="1"/>
    </x:row>
    <x:row r="27" ht="22" customHeight="1">
      <x:c r="C27" s="1" t="str">
        <x:v>Mod-1 equipment readiness (months)</x:v>
      </x:c>
      <x:c r="D27" s="10" t="n">
        <x:v>6</x:v>
      </x:c>
      <x:c r="E27" s="3"/>
      <x:c r="F27" s="3"/>
      <x:c r="G27" s="3"/>
      <x:c r="H27" s="1"/>
      <x:c r="I27" s="1"/>
      <x:c r="J27" s="1"/>
      <x:c r="K27" s="1"/>
      <x:c r="L27" s="1"/>
    </x:row>
    <x:row r="28" ht="22" customHeight="1">
      <x:c r="C28" s="1" t="str">
        <x:v>Competitor equipment readiness (months)</x:v>
      </x:c>
      <x:c r="D28" s="10" t="n">
        <x:v>18</x:v>
      </x:c>
      <x:c r="E28" s="3"/>
      <x:c r="F28" s="3"/>
      <x:c r="G28" s="3"/>
      <x:c r="H28" s="1"/>
      <x:c r="I28" s="1"/>
      <x:c r="J28" s="1"/>
      <x:c r="K28" s="1"/>
      <x:c r="L28" s="1"/>
    </x:row>
    <x:row r="29" ht="22" customHeight="1">
      <x:c r="C29" s="1" t="str">
        <x:v>Site readiness (months)</x:v>
      </x:c>
      <x:c r="D29" s="10" t="n">
        <x:v>4</x:v>
      </x:c>
      <x:c r="E29" s="3"/>
      <x:c r="F29" s="3"/>
      <x:c r="G29" s="3"/>
      <x:c r="H29" s="1"/>
      <x:c r="I29" s="1"/>
      <x:c r="J29" s="1"/>
      <x:c r="K29" s="1"/>
      <x:c r="L29" s="1"/>
    </x:row>
    <x:row r="30" ht="22" customHeight="1">
      <x:c r="C30" s="1" t="str">
        <x:v>Common horizon (years)</x:v>
      </x:c>
      <x:c r="D30" s="10" t="n">
        <x:v>5</x:v>
      </x:c>
      <x:c r="E30" s="3"/>
      <x:c r="F30" s="3"/>
      <x:c r="G30" s="3"/>
      <x:c r="H30" s="1"/>
      <x:c r="I30" s="1"/>
      <x:c r="J30" s="1"/>
      <x:c r="K30" s="1"/>
      <x:c r="L30" s="1"/>
    </x:row>
    <x:row r="31" ht="22" customHeight="1">
      <x:c r="C31" s="1" t="str">
        <x:v>Annual discount rate</x:v>
      </x:c>
      <x:c r="D31" s="12" t="n">
        <x:v>0.1</x:v>
      </x:c>
      <x:c r="E31" s="3"/>
      <x:c r="F31" s="3"/>
      <x:c r="G31" s="3"/>
      <x:c r="H31" s="1"/>
      <x:c r="I31" s="1"/>
      <x:c r="J31" s="1"/>
      <x:c r="K31" s="1"/>
      <x:c r="L31" s="1"/>
    </x:row>
    <x:row r="32" ht="22" customHeight="1">
      <x:c r="C32" s="1" t="str">
        <x:v>Operating contribution (USD/MW-month)</x:v>
      </x:c>
      <x:c r="D32" s="10" t="n">
        <x:v>100000</x:v>
      </x:c>
      <x:c r="E32" s="3"/>
      <x:c r="F32" s="3"/>
      <x:c r="G32" s="3"/>
      <x:c r="H32" s="1"/>
      <x:c r="I32" s="1"/>
      <x:c r="J32" s="1"/>
      <x:c r="K32" s="1"/>
      <x:c r="L32" s="1"/>
    </x:row>
    <x:row r="33" ht="22" customHeight="1">
      <x:c r="C33" s="1" t="str">
        <x:v>Grid readiness (months)</x:v>
      </x:c>
      <x:c r="D33" s="10" t="n">
        <x:v>24</x:v>
      </x:c>
      <x:c r="E33" s="3"/>
      <x:c r="F33" s="3"/>
      <x:c r="G33" s="3"/>
      <x:c r="H33" s="1"/>
      <x:c r="I33" s="1"/>
      <x:c r="J33" s="1"/>
      <x:c r="K33" s="1"/>
      <x:c r="L33" s="1"/>
    </x:row>
    <x:row r="34" ht="22" customHeight="1">
      <x:c r="C34" s="1" t="str">
        <x:v>Grid electricity (USD/MWh)</x:v>
      </x:c>
      <x:c r="D34" s="10" t="n">
        <x:v>80</x:v>
      </x:c>
      <x:c r="E34" s="3"/>
      <x:c r="F34" s="3"/>
      <x:c r="G34" s="3"/>
      <x:c r="H34" s="1"/>
      <x:c r="I34" s="1"/>
      <x:c r="J34" s="1"/>
      <x:c r="K34" s="1"/>
      <x:c r="L34" s="1"/>
    </x:row>
    <x:row r="35" ht="22" customHeight="1">
      <x:c r="C35" s="1"/>
      <x:c r="D35" s="3"/>
      <x:c r="E35" s="3"/>
      <x:c r="F35" s="3"/>
      <x:c r="G35" s="3"/>
      <x:c r="H35" s="1"/>
      <x:c r="I35" s="1"/>
      <x:c r="J35" s="1"/>
      <x:c r="K35" s="1"/>
      <x:c r="L35" s="1"/>
    </x:row>
    <x:row r="36" ht="22" customHeight="1">
      <x:c r="C36" s="1" t="str">
        <x:v>GE reference: 50 Hz +G4 LHV, not a Texas site guarantee.</x:v>
      </x:c>
      <x:c r="D36" s="3"/>
      <x:c r="E36" s="3"/>
      <x:c r="F36" s="3"/>
      <x:c r="G36" s="3"/>
      <x:c r="H36" s="1"/>
      <x:c r="I36" s="1"/>
      <x:c r="J36" s="1"/>
      <x:c r="K36" s="1"/>
      <x:c r="L36" s="1"/>
    </x:row>
    <x:row r="37" ht="22" customHeight="1">
      <x:c r="C37" s="1" t="str">
        <x:v>Grid connection capex excluded. Commercial costs are assumed.</x:v>
      </x:c>
      <x:c r="D37" s="3"/>
      <x:c r="E37" s="3"/>
      <x:c r="F37" s="3"/>
      <x:c r="G37" s="3"/>
      <x:c r="H37" s="1"/>
      <x:c r="I37" s="1"/>
      <x:c r="J37" s="1"/>
      <x:c r="K37" s="1"/>
      <x:c r="L37" s="1"/>
    </x:row>
    <x:row r="38" ht="22" customHeight="1">
      <x:c r="C38" s="1" t="str">
        <x:v>Gas price must use the same LHV energy basis as heat rate.</x:v>
      </x:c>
      <x:c r="D38" s="3"/>
      <x:c r="E38" s="3"/>
      <x:c r="F38" s="3"/>
      <x:c r="G38" s="3"/>
      <x:c r="H38" s="1"/>
      <x:c r="I38" s="1"/>
      <x:c r="J38" s="1"/>
      <x:c r="K38" s="1"/>
      <x:c r="L38" s="1"/>
    </x:row>
    <x:row r="39" ht="22" customHeight="1">
      <x:c r="C39" s="1"/>
      <x:c r="D39" s="3"/>
      <x:c r="E39" s="3"/>
      <x:c r="F39" s="3"/>
      <x:c r="G39" s="3"/>
      <x:c r="H39" s="1"/>
      <x:c r="I39" s="1"/>
      <x:c r="J39" s="1"/>
      <x:c r="K39" s="1"/>
      <x:c r="L39" s="1"/>
    </x:row>
    <x:row r="40" ht="25" customHeight="1">
      <x:c r="C40" s="8" t="str">
        <x:v>Month</x:v>
      </x:c>
      <x:c r="D40" s="9" t="str">
        <x:v>Discount</x:v>
      </x:c>
      <x:c r="E40" s="9" t="str">
        <x:v>Fast capex</x:v>
      </x:c>
      <x:c r="F40" s="9" t="str">
        <x:v>Slow capex</x:v>
      </x:c>
      <x:c r="G40" s="9" t="str">
        <x:v>Fast opex</x:v>
      </x:c>
      <x:c r="H40" s="8" t="str">
        <x:v>Slow opex</x:v>
      </x:c>
      <x:c r="I40" s="8" t="str">
        <x:v>Fast MW-mo</x:v>
      </x:c>
      <x:c r="J40" s="8" t="str">
        <x:v>Slow MW-mo</x:v>
      </x:c>
      <x:c r="K40" s="8" t="str">
        <x:v>Grid opex</x:v>
      </x:c>
      <x:c r="L40" s="8" t="str">
        <x:v>Grid MW-mo</x:v>
      </x:c>
    </x:row>
    <x:row r="41" ht="22" customHeight="1">
      <x:c r="C41" s="1" t="n">
        <x:v>1</x:v>
      </x:c>
      <x:c r="D41" s="3" t="n">
        <x:f>IF(C41&lt;=$D$30*12,(1+$D$31)^(-C41/12),0)</x:f>
        <x:v>0.992088943446991</x:v>
      </x:c>
      <x:c r="E41" s="3" t="n">
        <x:f>IF(C41=MAX(1,ROUNDUP(MAX($D$27,$D$29),0)),$D$13*($D$22+$D$24)*1000000*D41,0)</x:f>
        <x:v>0</x:v>
      </x:c>
      <x:c r="F41" s="3" t="n">
        <x:f>IF(C41=MAX(1,ROUNDUP(MAX($D$28,$D$29),0)),$D$13*($D$23+$D$25)*1000000*D41,0)</x:f>
        <x:v>0</x:v>
      </x:c>
      <x:c r="G41" s="3" t="n">
        <x:f>IF(C41&gt;MAX($D$27,$D$29),(($D$13*(1-$D$14)/(1+$D$26))*$D$15*$D$16)*8760/12*($D$17*$D$18/1000+$D$20)*D41,0)</x:f>
        <x:v>0</x:v>
      </x:c>
      <x:c r="H41" s="1" t="n">
        <x:f>IF(C41&gt;MAX($D$28,$D$29),(($D$13*(1-$D$14)/(1+$D$26))*$D$15*$D$16)*8760/12*($D$17*$D$19/1000+$D$21)*D41,0)</x:f>
        <x:v>0</x:v>
      </x:c>
      <x:c r="I41" s="1" t="n">
        <x:f>IF(C41&gt;MAX($D$27,$D$29),(($D$13*(1-$D$14)/(1+$D$26))*$D$15*$D$16)*D41,0)</x:f>
        <x:v>0</x:v>
      </x:c>
      <x:c r="J41" s="1" t="n">
        <x:f>IF(C41&gt;MAX($D$28,$D$29),(($D$13*(1-$D$14)/(1+$D$26))*$D$15*$D$16)*D41,0)</x:f>
        <x:v>0</x:v>
      </x:c>
      <x:c r="K41" s="1" t="n">
        <x:f>IF(C41&gt;MAX($D$33,$D$29),(($D$13*(1-$D$14)/(1+$D$26))*$D$15*$D$16)*8760/12*$D$34*D41,0)</x:f>
        <x:v>0</x:v>
      </x:c>
      <x:c r="L41" s="1" t="n">
        <x:f>IF(C41&gt;MAX($D$33,$D$29),(($D$13*(1-$D$14)/(1+$D$26))*$D$15*$D$16)*D41,0)</x:f>
        <x:v>0</x:v>
      </x:c>
    </x:row>
    <x:row r="42" ht="22" customHeight="1">
      <x:c r="C42" s="1" t="n">
        <x:v>2</x:v>
      </x:c>
      <x:c r="D42" s="3" t="n">
        <x:f>IF(C42&lt;=$D$30*12,(1+$D$31)^(-C42/12),0)</x:f>
        <x:v>0.9842404717097668</x:v>
      </x:c>
      <x:c r="E42" s="3" t="n">
        <x:f>IF(C42=MAX(1,ROUNDUP(MAX($D$27,$D$29),0)),$D$13*($D$22+$D$24)*1000000*D42,0)</x:f>
        <x:v>0</x:v>
      </x:c>
      <x:c r="F42" s="3" t="n">
        <x:f>IF(C42=MAX(1,ROUNDUP(MAX($D$28,$D$29),0)),$D$13*($D$23+$D$25)*1000000*D42,0)</x:f>
        <x:v>0</x:v>
      </x:c>
      <x:c r="G42" s="3" t="n">
        <x:f>IF(C42&gt;MAX($D$27,$D$29),(($D$13*(1-$D$14)/(1+$D$26))*$D$15*$D$16)*8760/12*($D$17*$D$18/1000+$D$20)*D42,0)</x:f>
        <x:v>0</x:v>
      </x:c>
      <x:c r="H42" s="1" t="n">
        <x:f>IF(C42&gt;MAX($D$28,$D$29),(($D$13*(1-$D$14)/(1+$D$26))*$D$15*$D$16)*8760/12*($D$17*$D$19/1000+$D$21)*D42,0)</x:f>
        <x:v>0</x:v>
      </x:c>
      <x:c r="I42" s="1" t="n">
        <x:f>IF(C42&gt;MAX($D$27,$D$29),(($D$13*(1-$D$14)/(1+$D$26))*$D$15*$D$16)*D42,0)</x:f>
        <x:v>0</x:v>
      </x:c>
      <x:c r="J42" s="1" t="n">
        <x:f>IF(C42&gt;MAX($D$28,$D$29),(($D$13*(1-$D$14)/(1+$D$26))*$D$15*$D$16)*D42,0)</x:f>
        <x:v>0</x:v>
      </x:c>
      <x:c r="K42" s="1" t="n">
        <x:f>IF(C42&gt;MAX($D$33,$D$29),(($D$13*(1-$D$14)/(1+$D$26))*$D$15*$D$16)*8760/12*$D$34*D42,0)</x:f>
        <x:v>0</x:v>
      </x:c>
      <x:c r="L42" s="1" t="n">
        <x:f>IF(C42&gt;MAX($D$33,$D$29),(($D$13*(1-$D$14)/(1+$D$26))*$D$15*$D$16)*D42,0)</x:f>
        <x:v>0</x:v>
      </x:c>
    </x:row>
    <x:row r="43" ht="22" customHeight="1">
      <x:c r="C43" s="1" t="n">
        <x:v>3</x:v>
      </x:c>
      <x:c r="D43" s="3" t="n">
        <x:f>IF(C43&lt;=$D$30*12,(1+$D$31)^(-C43/12),0)</x:f>
        <x:v>0.9764540896763105</x:v>
      </x:c>
      <x:c r="E43" s="3" t="n">
        <x:f>IF(C43=MAX(1,ROUNDUP(MAX($D$27,$D$29),0)),$D$13*($D$22+$D$24)*1000000*D43,0)</x:f>
        <x:v>0</x:v>
      </x:c>
      <x:c r="F43" s="3" t="n">
        <x:f>IF(C43=MAX(1,ROUNDUP(MAX($D$28,$D$29),0)),$D$13*($D$23+$D$25)*1000000*D43,0)</x:f>
        <x:v>0</x:v>
      </x:c>
      <x:c r="G43" s="3" t="n">
        <x:f>IF(C43&gt;MAX($D$27,$D$29),(($D$13*(1-$D$14)/(1+$D$26))*$D$15*$D$16)*8760/12*($D$17*$D$18/1000+$D$20)*D43,0)</x:f>
        <x:v>0</x:v>
      </x:c>
      <x:c r="H43" s="1" t="n">
        <x:f>IF(C43&gt;MAX($D$28,$D$29),(($D$13*(1-$D$14)/(1+$D$26))*$D$15*$D$16)*8760/12*($D$17*$D$19/1000+$D$21)*D43,0)</x:f>
        <x:v>0</x:v>
      </x:c>
      <x:c r="I43" s="1" t="n">
        <x:f>IF(C43&gt;MAX($D$27,$D$29),(($D$13*(1-$D$14)/(1+$D$26))*$D$15*$D$16)*D43,0)</x:f>
        <x:v>0</x:v>
      </x:c>
      <x:c r="J43" s="1" t="n">
        <x:f>IF(C43&gt;MAX($D$28,$D$29),(($D$13*(1-$D$14)/(1+$D$26))*$D$15*$D$16)*D43,0)</x:f>
        <x:v>0</x:v>
      </x:c>
      <x:c r="K43" s="1" t="n">
        <x:f>IF(C43&gt;MAX($D$33,$D$29),(($D$13*(1-$D$14)/(1+$D$26))*$D$15*$D$16)*8760/12*$D$34*D43,0)</x:f>
        <x:v>0</x:v>
      </x:c>
      <x:c r="L43" s="1" t="n">
        <x:f>IF(C43&gt;MAX($D$33,$D$29),(($D$13*(1-$D$14)/(1+$D$26))*$D$15*$D$16)*D43,0)</x:f>
        <x:v>0</x:v>
      </x:c>
    </x:row>
    <x:row r="44" ht="22" customHeight="1">
      <x:c r="C44" s="1" t="n">
        <x:v>4</x:v>
      </x:c>
      <x:c r="D44" s="3" t="n">
        <x:f>IF(C44&lt;=$D$30*12,(1+$D$31)^(-C44/12),0)</x:f>
        <x:v>0.9687293061514642</x:v>
      </x:c>
      <x:c r="E44" s="3" t="n">
        <x:f>IF(C44=MAX(1,ROUNDUP(MAX($D$27,$D$29),0)),$D$13*($D$22+$D$24)*1000000*D44,0)</x:f>
        <x:v>0</x:v>
      </x:c>
      <x:c r="F44" s="3" t="n">
        <x:f>IF(C44=MAX(1,ROUNDUP(MAX($D$28,$D$29),0)),$D$13*($D$23+$D$25)*1000000*D44,0)</x:f>
        <x:v>0</x:v>
      </x:c>
      <x:c r="G44" s="3" t="n">
        <x:f>IF(C44&gt;MAX($D$27,$D$29),(($D$13*(1-$D$14)/(1+$D$26))*$D$15*$D$16)*8760/12*($D$17*$D$18/1000+$D$20)*D44,0)</x:f>
        <x:v>0</x:v>
      </x:c>
      <x:c r="H44" s="1" t="n">
        <x:f>IF(C44&gt;MAX($D$28,$D$29),(($D$13*(1-$D$14)/(1+$D$26))*$D$15*$D$16)*8760/12*($D$17*$D$19/1000+$D$21)*D44,0)</x:f>
        <x:v>0</x:v>
      </x:c>
      <x:c r="I44" s="1" t="n">
        <x:f>IF(C44&gt;MAX($D$27,$D$29),(($D$13*(1-$D$14)/(1+$D$26))*$D$15*$D$16)*D44,0)</x:f>
        <x:v>0</x:v>
      </x:c>
      <x:c r="J44" s="1" t="n">
        <x:f>IF(C44&gt;MAX($D$28,$D$29),(($D$13*(1-$D$14)/(1+$D$26))*$D$15*$D$16)*D44,0)</x:f>
        <x:v>0</x:v>
      </x:c>
      <x:c r="K44" s="1" t="n">
        <x:f>IF(C44&gt;MAX($D$33,$D$29),(($D$13*(1-$D$14)/(1+$D$26))*$D$15*$D$16)*8760/12*$D$34*D44,0)</x:f>
        <x:v>0</x:v>
      </x:c>
      <x:c r="L44" s="1" t="n">
        <x:f>IF(C44&gt;MAX($D$33,$D$29),(($D$13*(1-$D$14)/(1+$D$26))*$D$15*$D$16)*D44,0)</x:f>
        <x:v>0</x:v>
      </x:c>
    </x:row>
    <x:row r="45" ht="22" customHeight="1">
      <x:c r="C45" s="1" t="n">
        <x:v>5</x:v>
      </x:c>
      <x:c r="D45" s="3" t="n">
        <x:f>IF(C45&lt;=$D$30*12,(1+$D$31)^(-C45/12),0)</x:f>
        <x:v>0.9610656338259428</x:v>
      </x:c>
      <x:c r="E45" s="3" t="n">
        <x:f>IF(C45=MAX(1,ROUNDUP(MAX($D$27,$D$29),0)),$D$13*($D$22+$D$24)*1000000*D45,0)</x:f>
        <x:v>0</x:v>
      </x:c>
      <x:c r="F45" s="3" t="n">
        <x:f>IF(C45=MAX(1,ROUNDUP(MAX($D$28,$D$29),0)),$D$13*($D$23+$D$25)*1000000*D45,0)</x:f>
        <x:v>0</x:v>
      </x:c>
      <x:c r="G45" s="3" t="n">
        <x:f>IF(C45&gt;MAX($D$27,$D$29),(($D$13*(1-$D$14)/(1+$D$26))*$D$15*$D$16)*8760/12*($D$17*$D$18/1000+$D$20)*D45,0)</x:f>
        <x:v>0</x:v>
      </x:c>
      <x:c r="H45" s="1" t="n">
        <x:f>IF(C45&gt;MAX($D$28,$D$29),(($D$13*(1-$D$14)/(1+$D$26))*$D$15*$D$16)*8760/12*($D$17*$D$19/1000+$D$21)*D45,0)</x:f>
        <x:v>0</x:v>
      </x:c>
      <x:c r="I45" s="1" t="n">
        <x:f>IF(C45&gt;MAX($D$27,$D$29),(($D$13*(1-$D$14)/(1+$D$26))*$D$15*$D$16)*D45,0)</x:f>
        <x:v>0</x:v>
      </x:c>
      <x:c r="J45" s="1" t="n">
        <x:f>IF(C45&gt;MAX($D$28,$D$29),(($D$13*(1-$D$14)/(1+$D$26))*$D$15*$D$16)*D45,0)</x:f>
        <x:v>0</x:v>
      </x:c>
      <x:c r="K45" s="1" t="n">
        <x:f>IF(C45&gt;MAX($D$33,$D$29),(($D$13*(1-$D$14)/(1+$D$26))*$D$15*$D$16)*8760/12*$D$34*D45,0)</x:f>
        <x:v>0</x:v>
      </x:c>
      <x:c r="L45" s="1" t="n">
        <x:f>IF(C45&gt;MAX($D$33,$D$29),(($D$13*(1-$D$14)/(1+$D$26))*$D$15*$D$16)*D45,0)</x:f>
        <x:v>0</x:v>
      </x:c>
    </x:row>
    <x:row r="46" ht="22" customHeight="1">
      <x:c r="C46" s="1" t="n">
        <x:v>6</x:v>
      </x:c>
      <x:c r="D46" s="3" t="n">
        <x:f>IF(C46&lt;=$D$30*12,(1+$D$31)^(-C46/12),0)</x:f>
        <x:v>0.9534625892455922</x:v>
      </x:c>
      <x:c r="E46" s="3" t="n">
        <x:f>IF(C46=MAX(1,ROUNDUP(MAX($D$27,$D$29),0)),$D$13*($D$22+$D$24)*1000000*D46,0)</x:f>
        <x:v>88672020.79984008</x:v>
      </x:c>
      <x:c r="F46" s="3" t="n">
        <x:f>IF(C46=MAX(1,ROUNDUP(MAX($D$28,$D$29),0)),$D$13*($D$23+$D$25)*1000000*D46,0)</x:f>
        <x:v>0</x:v>
      </x:c>
      <x:c r="G46" s="3" t="n">
        <x:f>IF(C46&gt;MAX($D$27,$D$29),(($D$13*(1-$D$14)/(1+$D$26))*$D$15*$D$16)*8760/12*($D$17*$D$18/1000+$D$20)*D46,0)</x:f>
        <x:v>0</x:v>
      </x:c>
      <x:c r="H46" s="1" t="n">
        <x:f>IF(C46&gt;MAX($D$28,$D$29),(($D$13*(1-$D$14)/(1+$D$26))*$D$15*$D$16)*8760/12*($D$17*$D$19/1000+$D$21)*D46,0)</x:f>
        <x:v>0</x:v>
      </x:c>
      <x:c r="I46" s="1" t="n">
        <x:f>IF(C46&gt;MAX($D$27,$D$29),(($D$13*(1-$D$14)/(1+$D$26))*$D$15*$D$16)*D46,0)</x:f>
        <x:v>0</x:v>
      </x:c>
      <x:c r="J46" s="1" t="n">
        <x:f>IF(C46&gt;MAX($D$28,$D$29),(($D$13*(1-$D$14)/(1+$D$26))*$D$15*$D$16)*D46,0)</x:f>
        <x:v>0</x:v>
      </x:c>
      <x:c r="K46" s="1" t="n">
        <x:f>IF(C46&gt;MAX($D$33,$D$29),(($D$13*(1-$D$14)/(1+$D$26))*$D$15*$D$16)*8760/12*$D$34*D46,0)</x:f>
        <x:v>0</x:v>
      </x:c>
      <x:c r="L46" s="1" t="n">
        <x:f>IF(C46&gt;MAX($D$33,$D$29),(($D$13*(1-$D$14)/(1+$D$26))*$D$15*$D$16)*D46,0)</x:f>
        <x:v>0</x:v>
      </x:c>
    </x:row>
    <x:row r="47" ht="22" customHeight="1">
      <x:c r="C47" s="1" t="n">
        <x:v>7</x:v>
      </x:c>
      <x:c r="D47" s="3" t="n">
        <x:f>IF(C47&lt;=$D$30*12,(1+$D$31)^(-C47/12),0)</x:f>
        <x:v>0.9459196927808919</x:v>
      </x:c>
      <x:c r="E47" s="3" t="n">
        <x:f>IF(C47=MAX(1,ROUNDUP(MAX($D$27,$D$29),0)),$D$13*($D$22+$D$24)*1000000*D47,0)</x:f>
        <x:v>0</x:v>
      </x:c>
      <x:c r="F47" s="3" t="n">
        <x:f>IF(C47=MAX(1,ROUNDUP(MAX($D$28,$D$29),0)),$D$13*($D$23+$D$25)*1000000*D47,0)</x:f>
        <x:v>0</x:v>
      </x:c>
      <x:c r="G47" s="3" t="n">
        <x:f>IF(C47&gt;MAX($D$27,$D$29),(($D$13*(1-$D$14)/(1+$D$26))*$D$15*$D$16)*8760/12*($D$17*$D$18/1000+$D$20)*D47,0)</x:f>
        <x:v>2372317.5736558507</x:v>
      </x:c>
      <x:c r="H47" s="1" t="n">
        <x:f>IF(C47&gt;MAX($D$28,$D$29),(($D$13*(1-$D$14)/(1+$D$26))*$D$15*$D$16)*8760/12*($D$17*$D$19/1000+$D$21)*D47,0)</x:f>
        <x:v>0</x:v>
      </x:c>
      <x:c r="I47" s="1" t="n">
        <x:f>IF(C47&gt;MAX($D$27,$D$29),(($D$13*(1-$D$14)/(1+$D$26))*$D$15*$D$16)*D47,0)</x:f>
        <x:v>62.49519424804665</x:v>
      </x:c>
      <x:c r="J47" s="1" t="n">
        <x:f>IF(C47&gt;MAX($D$28,$D$29),(($D$13*(1-$D$14)/(1+$D$26))*$D$15*$D$16)*D47,0)</x:f>
        <x:v>0</x:v>
      </x:c>
      <x:c r="K47" s="1" t="n">
        <x:f>IF(C47&gt;MAX($D$33,$D$29),(($D$13*(1-$D$14)/(1+$D$26))*$D$15*$D$16)*8760/12*$D$34*D47,0)</x:f>
        <x:v>0</x:v>
      </x:c>
      <x:c r="L47" s="1" t="n">
        <x:f>IF(C47&gt;MAX($D$33,$D$29),(($D$13*(1-$D$14)/(1+$D$26))*$D$15*$D$16)*D47,0)</x:f>
        <x:v>0</x:v>
      </x:c>
    </x:row>
    <x:row r="48" ht="22" customHeight="1">
      <x:c r="C48" s="1" t="n">
        <x:v>8</x:v>
      </x:c>
      <x:c r="D48" s="3" t="n">
        <x:f>IF(C48&lt;=$D$30*12,(1+$D$31)^(-C48/12),0)</x:f>
        <x:v>0.9384364685966974</x:v>
      </x:c>
      <x:c r="E48" s="3" t="n">
        <x:f>IF(C48=MAX(1,ROUNDUP(MAX($D$27,$D$29),0)),$D$13*($D$22+$D$24)*1000000*D48,0)</x:f>
        <x:v>0</x:v>
      </x:c>
      <x:c r="F48" s="3" t="n">
        <x:f>IF(C48=MAX(1,ROUNDUP(MAX($D$28,$D$29),0)),$D$13*($D$23+$D$25)*1000000*D48,0)</x:f>
        <x:v>0</x:v>
      </x:c>
      <x:c r="G48" s="3" t="n">
        <x:f>IF(C48&gt;MAX($D$27,$D$29),(($D$13*(1-$D$14)/(1+$D$26))*$D$15*$D$16)*8760/12*($D$17*$D$18/1000+$D$20)*D48,0)</x:f>
        <x:v>2353550.035168962</x:v>
      </x:c>
      <x:c r="H48" s="1" t="n">
        <x:f>IF(C48&gt;MAX($D$28,$D$29),(($D$13*(1-$D$14)/(1+$D$26))*$D$15*$D$16)*8760/12*($D$17*$D$19/1000+$D$21)*D48,0)</x:f>
        <x:v>0</x:v>
      </x:c>
      <x:c r="I48" s="1" t="n">
        <x:f>IF(C48&gt;MAX($D$27,$D$29),(($D$13*(1-$D$14)/(1+$D$26))*$D$15*$D$16)*D48,0)</x:f>
        <x:v>62.00079123205907</x:v>
      </x:c>
      <x:c r="J48" s="1" t="n">
        <x:f>IF(C48&gt;MAX($D$28,$D$29),(($D$13*(1-$D$14)/(1+$D$26))*$D$15*$D$16)*D48,0)</x:f>
        <x:v>0</x:v>
      </x:c>
      <x:c r="K48" s="1" t="n">
        <x:f>IF(C48&gt;MAX($D$33,$D$29),(($D$13*(1-$D$14)/(1+$D$26))*$D$15*$D$16)*8760/12*$D$34*D48,0)</x:f>
        <x:v>0</x:v>
      </x:c>
      <x:c r="L48" s="1" t="n">
        <x:f>IF(C48&gt;MAX($D$33,$D$29),(($D$13*(1-$D$14)/(1+$D$26))*$D$15*$D$16)*D48,0)</x:f>
        <x:v>0</x:v>
      </x:c>
    </x:row>
    <x:row r="49" ht="22" customHeight="1">
      <x:c r="C49" s="1" t="n">
        <x:v>9</x:v>
      </x:c>
      <x:c r="D49" s="3" t="n">
        <x:f>IF(C49&lt;=$D$30*12,(1+$D$31)^(-C49/12),0)</x:f>
        <x:v>0.9310124446222228</x:v>
      </x:c>
      <x:c r="E49" s="3" t="n">
        <x:f>IF(C49=MAX(1,ROUNDUP(MAX($D$27,$D$29),0)),$D$13*($D$22+$D$24)*1000000*D49,0)</x:f>
        <x:v>0</x:v>
      </x:c>
      <x:c r="F49" s="3" t="n">
        <x:f>IF(C49=MAX(1,ROUNDUP(MAX($D$28,$D$29),0)),$D$13*($D$23+$D$25)*1000000*D49,0)</x:f>
        <x:v>0</x:v>
      </x:c>
      <x:c r="G49" s="3" t="n">
        <x:f>IF(C49&gt;MAX($D$27,$D$29),(($D$13*(1-$D$14)/(1+$D$26))*$D$15*$D$16)*8760/12*($D$17*$D$18/1000+$D$20)*D49,0)</x:f>
        <x:v>2334930.967740404</x:v>
      </x:c>
      <x:c r="H49" s="1" t="n">
        <x:f>IF(C49&gt;MAX($D$28,$D$29),(($D$13*(1-$D$14)/(1+$D$26))*$D$15*$D$16)*8760/12*($D$17*$D$19/1000+$D$21)*D49,0)</x:f>
        <x:v>0</x:v>
      </x:c>
      <x:c r="I49" s="1" t="n">
        <x:f>IF(C49&gt;MAX($D$27,$D$29),(($D$13*(1-$D$14)/(1+$D$26))*$D$15*$D$16)*D49,0)</x:f>
        <x:v>61.51029946629094</x:v>
      </x:c>
      <x:c r="J49" s="1" t="n">
        <x:f>IF(C49&gt;MAX($D$28,$D$29),(($D$13*(1-$D$14)/(1+$D$26))*$D$15*$D$16)*D49,0)</x:f>
        <x:v>0</x:v>
      </x:c>
      <x:c r="K49" s="1" t="n">
        <x:f>IF(C49&gt;MAX($D$33,$D$29),(($D$13*(1-$D$14)/(1+$D$26))*$D$15*$D$16)*8760/12*$D$34*D49,0)</x:f>
        <x:v>0</x:v>
      </x:c>
      <x:c r="L49" s="1" t="n">
        <x:f>IF(C49&gt;MAX($D$33,$D$29),(($D$13*(1-$D$14)/(1+$D$26))*$D$15*$D$16)*D49,0)</x:f>
        <x:v>0</x:v>
      </x:c>
    </x:row>
    <x:row r="50" ht="22" customHeight="1">
      <x:c r="C50" s="1" t="n">
        <x:v>10</x:v>
      </x:c>
      <x:c r="D50" s="3" t="n">
        <x:f>IF(C50&lt;=$D$30*12,(1+$D$31)^(-C50/12),0)</x:f>
        <x:v>0.9236471525212612</x:v>
      </x:c>
      <x:c r="E50" s="3" t="n">
        <x:f>IF(C50=MAX(1,ROUNDUP(MAX($D$27,$D$29),0)),$D$13*($D$22+$D$24)*1000000*D50,0)</x:f>
        <x:v>0</x:v>
      </x:c>
      <x:c r="F50" s="3" t="n">
        <x:f>IF(C50=MAX(1,ROUNDUP(MAX($D$28,$D$29),0)),$D$13*($D$23+$D$25)*1000000*D50,0)</x:f>
        <x:v>0</x:v>
      </x:c>
      <x:c r="G50" s="3" t="n">
        <x:f>IF(C50&gt;MAX($D$27,$D$29),(($D$13*(1-$D$14)/(1+$D$26))*$D$15*$D$16)*8760/12*($D$17*$D$18/1000+$D$20)*D50,0)</x:f>
        <x:v>2316459.196807238</x:v>
      </x:c>
      <x:c r="H50" s="1" t="n">
        <x:f>IF(C50&gt;MAX($D$28,$D$29),(($D$13*(1-$D$14)/(1+$D$26))*$D$15*$D$16)*8760/12*($D$17*$D$19/1000+$D$21)*D50,0)</x:f>
        <x:v>0</x:v>
      </x:c>
      <x:c r="I50" s="1" t="n">
        <x:f>IF(C50&gt;MAX($D$27,$D$29),(($D$13*(1-$D$14)/(1+$D$26))*$D$15*$D$16)*D50,0)</x:f>
        <x:v>61.02368800862059</x:v>
      </x:c>
      <x:c r="J50" s="1" t="n">
        <x:f>IF(C50&gt;MAX($D$28,$D$29),(($D$13*(1-$D$14)/(1+$D$26))*$D$15*$D$16)*D50,0)</x:f>
        <x:v>0</x:v>
      </x:c>
      <x:c r="K50" s="1" t="n">
        <x:f>IF(C50&gt;MAX($D$33,$D$29),(($D$13*(1-$D$14)/(1+$D$26))*$D$15*$D$16)*8760/12*$D$34*D50,0)</x:f>
        <x:v>0</x:v>
      </x:c>
      <x:c r="L50" s="1" t="n">
        <x:f>IF(C50&gt;MAX($D$33,$D$29),(($D$13*(1-$D$14)/(1+$D$26))*$D$15*$D$16)*D50,0)</x:f>
        <x:v>0</x:v>
      </x:c>
    </x:row>
    <x:row r="51" ht="22" customHeight="1">
      <x:c r="C51" s="1" t="n">
        <x:v>11</x:v>
      </x:c>
      <x:c r="D51" s="3" t="n">
        <x:f>IF(C51&lt;=$D$30*12,(1+$D$31)^(-C51/12),0)</x:f>
        <x:v>0.9163401276626397</x:v>
      </x:c>
      <x:c r="E51" s="3" t="n">
        <x:f>IF(C51=MAX(1,ROUNDUP(MAX($D$27,$D$29),0)),$D$13*($D$22+$D$24)*1000000*D51,0)</x:f>
        <x:v>0</x:v>
      </x:c>
      <x:c r="F51" s="3" t="n">
        <x:f>IF(C51=MAX(1,ROUNDUP(MAX($D$28,$D$29),0)),$D$13*($D$23+$D$25)*1000000*D51,0)</x:f>
        <x:v>0</x:v>
      </x:c>
      <x:c r="G51" s="3" t="n">
        <x:f>IF(C51&gt;MAX($D$27,$D$29),(($D$13*(1-$D$14)/(1+$D$26))*$D$15*$D$16)*8760/12*($D$17*$D$18/1000+$D$20)*D51,0)</x:f>
        <x:v>2298133.5570985577</x:v>
      </x:c>
      <x:c r="H51" s="1" t="n">
        <x:f>IF(C51&gt;MAX($D$28,$D$29),(($D$13*(1-$D$14)/(1+$D$26))*$D$15*$D$16)*8760/12*($D$17*$D$19/1000+$D$21)*D51,0)</x:f>
        <x:v>0</x:v>
      </x:c>
      <x:c r="I51" s="1" t="n">
        <x:f>IF(C51&gt;MAX($D$27,$D$29),(($D$13*(1-$D$14)/(1+$D$26))*$D$15*$D$16)*D51,0)</x:f>
        <x:v>60.54092616171121</x:v>
      </x:c>
      <x:c r="J51" s="1" t="n">
        <x:f>IF(C51&gt;MAX($D$28,$D$29),(($D$13*(1-$D$14)/(1+$D$26))*$D$15*$D$16)*D51,0)</x:f>
        <x:v>0</x:v>
      </x:c>
      <x:c r="K51" s="1" t="n">
        <x:f>IF(C51&gt;MAX($D$33,$D$29),(($D$13*(1-$D$14)/(1+$D$26))*$D$15*$D$16)*8760/12*$D$34*D51,0)</x:f>
        <x:v>0</x:v>
      </x:c>
      <x:c r="L51" s="1" t="n">
        <x:f>IF(C51&gt;MAX($D$33,$D$29),(($D$13*(1-$D$14)/(1+$D$26))*$D$15*$D$16)*D51,0)</x:f>
        <x:v>0</x:v>
      </x:c>
    </x:row>
    <x:row r="52" ht="22" customHeight="1">
      <x:c r="C52" s="1" t="n">
        <x:v>12</x:v>
      </x:c>
      <x:c r="D52" s="3" t="n">
        <x:f>IF(C52&lt;=$D$30*12,(1+$D$31)^(-C52/12),0)</x:f>
        <x:v>0.9090909090909091</x:v>
      </x:c>
      <x:c r="E52" s="3" t="n">
        <x:f>IF(C52=MAX(1,ROUNDUP(MAX($D$27,$D$29),0)),$D$13*($D$22+$D$24)*1000000*D52,0)</x:f>
        <x:v>0</x:v>
      </x:c>
      <x:c r="F52" s="3" t="n">
        <x:f>IF(C52=MAX(1,ROUNDUP(MAX($D$28,$D$29),0)),$D$13*($D$23+$D$25)*1000000*D52,0)</x:f>
        <x:v>0</x:v>
      </x:c>
      <x:c r="G52" s="3" t="n">
        <x:f>IF(C52&gt;MAX($D$27,$D$29),(($D$13*(1-$D$14)/(1+$D$26))*$D$15*$D$16)*8760/12*($D$17*$D$18/1000+$D$20)*D52,0)</x:f>
        <x:v>2279952.8925619833</x:v>
      </x:c>
      <x:c r="H52" s="1" t="n">
        <x:f>IF(C52&gt;MAX($D$28,$D$29),(($D$13*(1-$D$14)/(1+$D$26))*$D$15*$D$16)*8760/12*($D$17*$D$19/1000+$D$21)*D52,0)</x:f>
        <x:v>0</x:v>
      </x:c>
      <x:c r="I52" s="1" t="n">
        <x:f>IF(C52&gt;MAX($D$27,$D$29),(($D$13*(1-$D$14)/(1+$D$26))*$D$15*$D$16)*D52,0)</x:f>
        <x:v>60.06198347107437</x:v>
      </x:c>
      <x:c r="J52" s="1" t="n">
        <x:f>IF(C52&gt;MAX($D$28,$D$29),(($D$13*(1-$D$14)/(1+$D$26))*$D$15*$D$16)*D52,0)</x:f>
        <x:v>0</x:v>
      </x:c>
      <x:c r="K52" s="1" t="n">
        <x:f>IF(C52&gt;MAX($D$33,$D$29),(($D$13*(1-$D$14)/(1+$D$26))*$D$15*$D$16)*8760/12*$D$34*D52,0)</x:f>
        <x:v>0</x:v>
      </x:c>
      <x:c r="L52" s="1" t="n">
        <x:f>IF(C52&gt;MAX($D$33,$D$29),(($D$13*(1-$D$14)/(1+$D$26))*$D$15*$D$16)*D52,0)</x:f>
        <x:v>0</x:v>
      </x:c>
    </x:row>
    <x:row r="53" ht="22" customHeight="1">
      <x:c r="C53" s="1" t="n">
        <x:v>13</x:v>
      </x:c>
      <x:c r="D53" s="3" t="n">
        <x:f>IF(C53&lt;=$D$30*12,(1+$D$31)^(-C53/12),0)</x:f>
        <x:v>0.9018990394972645</x:v>
      </x:c>
      <x:c r="E53" s="3" t="n">
        <x:f>IF(C53=MAX(1,ROUNDUP(MAX($D$27,$D$29),0)),$D$13*($D$22+$D$24)*1000000*D53,0)</x:f>
        <x:v>0</x:v>
      </x:c>
      <x:c r="F53" s="3" t="n">
        <x:f>IF(C53=MAX(1,ROUNDUP(MAX($D$28,$D$29),0)),$D$13*($D$23+$D$25)*1000000*D53,0)</x:f>
        <x:v>0</x:v>
      </x:c>
      <x:c r="G53" s="3" t="n">
        <x:f>IF(C53&gt;MAX($D$27,$D$29),(($D$13*(1-$D$14)/(1+$D$26))*$D$15*$D$16)*8760/12*($D$17*$D$18/1000+$D$20)*D53,0)</x:f>
        <x:v>2261916.056290729</x:v>
      </x:c>
      <x:c r="H53" s="1" t="n">
        <x:f>IF(C53&gt;MAX($D$28,$D$29),(($D$13*(1-$D$14)/(1+$D$26))*$D$15*$D$16)*8760/12*($D$17*$D$19/1000+$D$21)*D53,0)</x:f>
        <x:v>0</x:v>
      </x:c>
      <x:c r="I53" s="1" t="n">
        <x:f>IF(C53&gt;MAX($D$27,$D$29),(($D$13*(1-$D$14)/(1+$D$26))*$D$15*$D$16)*D53,0)</x:f>
        <x:v>59.58682972314881</x:v>
      </x:c>
      <x:c r="J53" s="1" t="n">
        <x:f>IF(C53&gt;MAX($D$28,$D$29),(($D$13*(1-$D$14)/(1+$D$26))*$D$15*$D$16)*D53,0)</x:f>
        <x:v>0</x:v>
      </x:c>
      <x:c r="K53" s="1" t="n">
        <x:f>IF(C53&gt;MAX($D$33,$D$29),(($D$13*(1-$D$14)/(1+$D$26))*$D$15*$D$16)*8760/12*$D$34*D53,0)</x:f>
        <x:v>0</x:v>
      </x:c>
      <x:c r="L53" s="1" t="n">
        <x:f>IF(C53&gt;MAX($D$33,$D$29),(($D$13*(1-$D$14)/(1+$D$26))*$D$15*$D$16)*D53,0)</x:f>
        <x:v>0</x:v>
      </x:c>
    </x:row>
    <x:row r="54" ht="22" customHeight="1">
      <x:c r="C54" s="1" t="n">
        <x:v>14</x:v>
      </x:c>
      <x:c r="D54" s="3" t="n">
        <x:f>IF(C54&lt;=$D$30*12,(1+$D$31)^(-C54/12),0)</x:f>
        <x:v>0.8947640651906971</x:v>
      </x:c>
      <x:c r="E54" s="3" t="n">
        <x:f>IF(C54=MAX(1,ROUNDUP(MAX($D$27,$D$29),0)),$D$13*($D$22+$D$24)*1000000*D54,0)</x:f>
        <x:v>0</x:v>
      </x:c>
      <x:c r="F54" s="3" t="n">
        <x:f>IF(C54=MAX(1,ROUNDUP(MAX($D$28,$D$29),0)),$D$13*($D$23+$D$25)*1000000*D54,0)</x:f>
        <x:v>0</x:v>
      </x:c>
      <x:c r="G54" s="3" t="n">
        <x:f>IF(C54&gt;MAX($D$27,$D$29),(($D$13*(1-$D$14)/(1+$D$26))*$D$15*$D$16)*8760/12*($D$17*$D$18/1000+$D$20)*D54,0)</x:f>
        <x:v>2244021.910451254</x:v>
      </x:c>
      <x:c r="H54" s="1" t="n">
        <x:f>IF(C54&gt;MAX($D$28,$D$29),(($D$13*(1-$D$14)/(1+$D$26))*$D$15*$D$16)*8760/12*($D$17*$D$19/1000+$D$21)*D54,0)</x:f>
        <x:v>0</x:v>
      </x:c>
      <x:c r="I54" s="1" t="n">
        <x:f>IF(C54&gt;MAX($D$27,$D$29),(($D$13*(1-$D$14)/(1+$D$26))*$D$15*$D$16)*D54,0)</x:f>
        <x:v>59.11543494339446</x:v>
      </x:c>
      <x:c r="J54" s="1" t="n">
        <x:f>IF(C54&gt;MAX($D$28,$D$29),(($D$13*(1-$D$14)/(1+$D$26))*$D$15*$D$16)*D54,0)</x:f>
        <x:v>0</x:v>
      </x:c>
      <x:c r="K54" s="1" t="n">
        <x:f>IF(C54&gt;MAX($D$33,$D$29),(($D$13*(1-$D$14)/(1+$D$26))*$D$15*$D$16)*8760/12*$D$34*D54,0)</x:f>
        <x:v>0</x:v>
      </x:c>
      <x:c r="L54" s="1" t="n">
        <x:f>IF(C54&gt;MAX($D$33,$D$29),(($D$13*(1-$D$14)/(1+$D$26))*$D$15*$D$16)*D54,0)</x:f>
        <x:v>0</x:v>
      </x:c>
    </x:row>
    <x:row r="55" ht="22" customHeight="1">
      <x:c r="C55" s="1" t="n">
        <x:v>15</x:v>
      </x:c>
      <x:c r="D55" s="3" t="n">
        <x:f>IF(C55&lt;=$D$30*12,(1+$D$31)^(-C55/12),0)</x:f>
        <x:v>0.8876855360693732</x:v>
      </x:c>
      <x:c r="E55" s="3" t="n">
        <x:f>IF(C55=MAX(1,ROUNDUP(MAX($D$27,$D$29),0)),$D$13*($D$22+$D$24)*1000000*D55,0)</x:f>
        <x:v>0</x:v>
      </x:c>
      <x:c r="F55" s="3" t="n">
        <x:f>IF(C55=MAX(1,ROUNDUP(MAX($D$28,$D$29),0)),$D$13*($D$23+$D$25)*1000000*D55,0)</x:f>
        <x:v>0</x:v>
      </x:c>
      <x:c r="G55" s="3" t="n">
        <x:f>IF(C55&gt;MAX($D$27,$D$29),(($D$13*(1-$D$14)/(1+$D$26))*$D$15*$D$16)*8760/12*($D$17*$D$18/1000+$D$20)*D55,0)</x:f>
        <x:v>2226269.3262114823</x:v>
      </x:c>
      <x:c r="H55" s="1" t="n">
        <x:f>IF(C55&gt;MAX($D$28,$D$29),(($D$13*(1-$D$14)/(1+$D$26))*$D$15*$D$16)*8760/12*($D$17*$D$19/1000+$D$21)*D55,0)</x:f>
        <x:v>0</x:v>
      </x:c>
      <x:c r="I55" s="1" t="n">
        <x:f>IF(C55&gt;MAX($D$27,$D$29),(($D$13*(1-$D$14)/(1+$D$26))*$D$15*$D$16)*D55,0)</x:f>
        <x:v>58.647769394401536</x:v>
      </x:c>
      <x:c r="J55" s="1" t="n">
        <x:f>IF(C55&gt;MAX($D$28,$D$29),(($D$13*(1-$D$14)/(1+$D$26))*$D$15*$D$16)*D55,0)</x:f>
        <x:v>0</x:v>
      </x:c>
      <x:c r="K55" s="1" t="n">
        <x:f>IF(C55&gt;MAX($D$33,$D$29),(($D$13*(1-$D$14)/(1+$D$26))*$D$15*$D$16)*8760/12*$D$34*D55,0)</x:f>
        <x:v>0</x:v>
      </x:c>
      <x:c r="L55" s="1" t="n">
        <x:f>IF(C55&gt;MAX($D$33,$D$29),(($D$13*(1-$D$14)/(1+$D$26))*$D$15*$D$16)*D55,0)</x:f>
        <x:v>0</x:v>
      </x:c>
    </x:row>
    <x:row r="56" ht="22" customHeight="1">
      <x:c r="C56" s="1" t="n">
        <x:v>16</x:v>
      </x:c>
      <x:c r="D56" s="3" t="n">
        <x:f>IF(C56&lt;=$D$30*12,(1+$D$31)^(-C56/12),0)</x:f>
        <x:v>0.8806630055922402</x:v>
      </x:c>
      <x:c r="E56" s="3" t="n">
        <x:f>IF(C56=MAX(1,ROUNDUP(MAX($D$27,$D$29),0)),$D$13*($D$22+$D$24)*1000000*D56,0)</x:f>
        <x:v>0</x:v>
      </x:c>
      <x:c r="F56" s="3" t="n">
        <x:f>IF(C56=MAX(1,ROUNDUP(MAX($D$28,$D$29),0)),$D$13*($D$23+$D$25)*1000000*D56,0)</x:f>
        <x:v>0</x:v>
      </x:c>
      <x:c r="G56" s="3" t="n">
        <x:f>IF(C56&gt;MAX($D$27,$D$29),(($D$13*(1-$D$14)/(1+$D$26))*$D$15*$D$16)*8760/12*($D$17*$D$18/1000+$D$20)*D56,0)</x:f>
        <x:v>2208657.183669594</x:v>
      </x:c>
      <x:c r="H56" s="1" t="n">
        <x:f>IF(C56&gt;MAX($D$28,$D$29),(($D$13*(1-$D$14)/(1+$D$26))*$D$15*$D$16)*8760/12*($D$17*$D$19/1000+$D$21)*D56,0)</x:f>
        <x:v>0</x:v>
      </x:c>
      <x:c r="I56" s="1" t="n">
        <x:f>IF(C56&gt;MAX($D$27,$D$29),(($D$13*(1-$D$14)/(1+$D$26))*$D$15*$D$16)*D56,0)</x:f>
        <x:v>58.18380357401459</x:v>
      </x:c>
      <x:c r="J56" s="1" t="n">
        <x:f>IF(C56&gt;MAX($D$28,$D$29),(($D$13*(1-$D$14)/(1+$D$26))*$D$15*$D$16)*D56,0)</x:f>
        <x:v>0</x:v>
      </x:c>
      <x:c r="K56" s="1" t="n">
        <x:f>IF(C56&gt;MAX($D$33,$D$29),(($D$13*(1-$D$14)/(1+$D$26))*$D$15*$D$16)*8760/12*$D$34*D56,0)</x:f>
        <x:v>0</x:v>
      </x:c>
      <x:c r="L56" s="1" t="n">
        <x:f>IF(C56&gt;MAX($D$33,$D$29),(($D$13*(1-$D$14)/(1+$D$26))*$D$15*$D$16)*D56,0)</x:f>
        <x:v>0</x:v>
      </x:c>
    </x:row>
    <x:row r="57" ht="22" customHeight="1">
      <x:c r="C57" s="1" t="n">
        <x:v>17</x:v>
      </x:c>
      <x:c r="D57" s="3" t="n">
        <x:f>IF(C57&lt;=$D$30*12,(1+$D$31)^(-C57/12),0)</x:f>
        <x:v>0.873696030750857</x:v>
      </x:c>
      <x:c r="E57" s="3" t="n">
        <x:f>IF(C57=MAX(1,ROUNDUP(MAX($D$27,$D$29),0)),$D$13*($D$22+$D$24)*1000000*D57,0)</x:f>
        <x:v>0</x:v>
      </x:c>
      <x:c r="F57" s="3" t="n">
        <x:f>IF(C57=MAX(1,ROUNDUP(MAX($D$28,$D$29),0)),$D$13*($D$23+$D$25)*1000000*D57,0)</x:f>
        <x:v>0</x:v>
      </x:c>
      <x:c r="G57" s="3" t="n">
        <x:f>IF(C57&gt;MAX($D$27,$D$29),(($D$13*(1-$D$14)/(1+$D$26))*$D$15*$D$16)*8760/12*($D$17*$D$18/1000+$D$20)*D57,0)</x:f>
        <x:v>2191184.371783374</x:v>
      </x:c>
      <x:c r="H57" s="1" t="n">
        <x:f>IF(C57&gt;MAX($D$28,$D$29),(($D$13*(1-$D$14)/(1+$D$26))*$D$15*$D$16)*8760/12*($D$17*$D$19/1000+$D$21)*D57,0)</x:f>
        <x:v>0</x:v>
      </x:c>
      <x:c r="I57" s="1" t="n">
        <x:f>IF(C57&gt;MAX($D$27,$D$29),(($D$13*(1-$D$14)/(1+$D$26))*$D$15*$D$16)*D57,0)</x:f>
        <x:v>57.72350821347139</x:v>
      </x:c>
      <x:c r="J57" s="1" t="n">
        <x:f>IF(C57&gt;MAX($D$28,$D$29),(($D$13*(1-$D$14)/(1+$D$26))*$D$15*$D$16)*D57,0)</x:f>
        <x:v>0</x:v>
      </x:c>
      <x:c r="K57" s="1" t="n">
        <x:f>IF(C57&gt;MAX($D$33,$D$29),(($D$13*(1-$D$14)/(1+$D$26))*$D$15*$D$16)*8760/12*$D$34*D57,0)</x:f>
        <x:v>0</x:v>
      </x:c>
      <x:c r="L57" s="1" t="n">
        <x:f>IF(C57&gt;MAX($D$33,$D$29),(($D$13*(1-$D$14)/(1+$D$26))*$D$15*$D$16)*D57,0)</x:f>
        <x:v>0</x:v>
      </x:c>
    </x:row>
    <x:row r="58" ht="22" customHeight="1">
      <x:c r="C58" s="1" t="n">
        <x:v>18</x:v>
      </x:c>
      <x:c r="D58" s="3" t="n">
        <x:f>IF(C58&lt;=$D$30*12,(1+$D$31)^(-C58/12),0)</x:f>
        <x:v>0.8667841720414474</x:v>
      </x:c>
      <x:c r="E58" s="3" t="n">
        <x:f>IF(C58=MAX(1,ROUNDUP(MAX($D$27,$D$29),0)),$D$13*($D$22+$D$24)*1000000*D58,0)</x:f>
        <x:v>0</x:v>
      </x:c>
      <x:c r="F58" s="3" t="n">
        <x:f>IF(C58=MAX(1,ROUNDUP(MAX($D$28,$D$29),0)),$D$13*($D$23+$D$25)*1000000*D58,0)</x:f>
        <x:v>84944848.86006185</x:v>
      </x:c>
      <x:c r="G58" s="3" t="n">
        <x:f>IF(C58&gt;MAX($D$27,$D$29),(($D$13*(1-$D$14)/(1+$D$26))*$D$15*$D$16)*8760/12*($D$17*$D$18/1000+$D$20)*D58,0)</x:f>
        <x:v>2173849.788300126</x:v>
      </x:c>
      <x:c r="H58" s="1" t="n">
        <x:f>IF(C58&gt;MAX($D$28,$D$29),(($D$13*(1-$D$14)/(1+$D$26))*$D$15*$D$16)*8760/12*($D$17*$D$19/1000+$D$21)*D58,0)</x:f>
        <x:v>0</x:v>
      </x:c>
      <x:c r="I58" s="1" t="n">
        <x:f>IF(C58&gt;MAX($D$27,$D$29),(($D$13*(1-$D$14)/(1+$D$26))*$D$15*$D$16)*D58,0)</x:f>
        <x:v>57.26685427555653</x:v>
      </x:c>
      <x:c r="J58" s="1" t="n">
        <x:f>IF(C58&gt;MAX($D$28,$D$29),(($D$13*(1-$D$14)/(1+$D$26))*$D$15*$D$16)*D58,0)</x:f>
        <x:v>0</x:v>
      </x:c>
      <x:c r="K58" s="1" t="n">
        <x:f>IF(C58&gt;MAX($D$33,$D$29),(($D$13*(1-$D$14)/(1+$D$26))*$D$15*$D$16)*8760/12*$D$34*D58,0)</x:f>
        <x:v>0</x:v>
      </x:c>
      <x:c r="L58" s="1" t="n">
        <x:f>IF(C58&gt;MAX($D$33,$D$29),(($D$13*(1-$D$14)/(1+$D$26))*$D$15*$D$16)*D58,0)</x:f>
        <x:v>0</x:v>
      </x:c>
    </x:row>
    <x:row r="59" ht="22" customHeight="1">
      <x:c r="C59" s="1" t="n">
        <x:v>19</x:v>
      </x:c>
      <x:c r="D59" s="3" t="n">
        <x:f>IF(C59&lt;=$D$30*12,(1+$D$31)^(-C59/12),0)</x:f>
        <x:v>0.8599269934371745</x:v>
      </x:c>
      <x:c r="E59" s="3" t="n">
        <x:f>IF(C59=MAX(1,ROUNDUP(MAX($D$27,$D$29),0)),$D$13*($D$22+$D$24)*1000000*D59,0)</x:f>
        <x:v>0</x:v>
      </x:c>
      <x:c r="F59" s="3" t="n">
        <x:f>IF(C59=MAX(1,ROUNDUP(MAX($D$28,$D$29),0)),$D$13*($D$23+$D$25)*1000000*D59,0)</x:f>
        <x:v>0</x:v>
      </x:c>
      <x:c r="G59" s="3" t="n">
        <x:f>IF(C59&gt;MAX($D$27,$D$29),(($D$13*(1-$D$14)/(1+$D$26))*$D$15*$D$16)*8760/12*($D$17*$D$18/1000+$D$20)*D59,0)</x:f>
        <x:v>2156652.3396871374</x:v>
      </x:c>
      <x:c r="H59" s="1" t="n">
        <x:f>IF(C59&gt;MAX($D$28,$D$29),(($D$13*(1-$D$14)/(1+$D$26))*$D$15*$D$16)*8760/12*($D$17*$D$19/1000+$D$21)*D59,0)</x:f>
        <x:v>1686999.8186368078</x:v>
      </x:c>
      <x:c r="I59" s="1" t="n">
        <x:f>IF(C59&gt;MAX($D$27,$D$29),(($D$13*(1-$D$14)/(1+$D$26))*$D$15*$D$16)*D59,0)</x:f>
        <x:v>56.81381295276968</x:v>
      </x:c>
      <x:c r="J59" s="1" t="n">
        <x:f>IF(C59&gt;MAX($D$28,$D$29),(($D$13*(1-$D$14)/(1+$D$26))*$D$15*$D$16)*D59,0)</x:f>
        <x:v>56.81381295276968</x:v>
      </x:c>
      <x:c r="K59" s="1" t="n">
        <x:f>IF(C59&gt;MAX($D$33,$D$29),(($D$13*(1-$D$14)/(1+$D$26))*$D$15*$D$16)*8760/12*$D$34*D59,0)</x:f>
        <x:v>0</x:v>
      </x:c>
      <x:c r="L59" s="1" t="n">
        <x:f>IF(C59&gt;MAX($D$33,$D$29),(($D$13*(1-$D$14)/(1+$D$26))*$D$15*$D$16)*D59,0)</x:f>
        <x:v>0</x:v>
      </x:c>
    </x:row>
    <x:row r="60" ht="22" customHeight="1">
      <x:c r="C60" s="1" t="n">
        <x:v>20</x:v>
      </x:c>
      <x:c r="D60" s="3" t="n">
        <x:f>IF(C60&lt;=$D$30*12,(1+$D$31)^(-C60/12),0)</x:f>
        <x:v>0.8531240623606339</x:v>
      </x:c>
      <x:c r="E60" s="3" t="n">
        <x:f>IF(C60=MAX(1,ROUNDUP(MAX($D$27,$D$29),0)),$D$13*($D$22+$D$24)*1000000*D60,0)</x:f>
        <x:v>0</x:v>
      </x:c>
      <x:c r="F60" s="3" t="n">
        <x:f>IF(C60=MAX(1,ROUNDUP(MAX($D$28,$D$29),0)),$D$13*($D$23+$D$25)*1000000*D60,0)</x:f>
        <x:v>0</x:v>
      </x:c>
      <x:c r="G60" s="3" t="n">
        <x:f>IF(C60&gt;MAX($D$27,$D$29),(($D$13*(1-$D$14)/(1+$D$26))*$D$15*$D$16)*8760/12*($D$17*$D$18/1000+$D$20)*D60,0)</x:f>
        <x:v>2139590.9410626926</x:v>
      </x:c>
      <x:c r="H60" s="1" t="n">
        <x:f>IF(C60&gt;MAX($D$28,$D$29),(($D$13*(1-$D$14)/(1+$D$26))*$D$15*$D$16)*8760/12*($D$17*$D$19/1000+$D$21)*D60,0)</x:f>
        <x:v>1673653.8676666557</x:v>
      </x:c>
      <x:c r="I60" s="1" t="n">
        <x:f>IF(C60&gt;MAX($D$27,$D$29),(($D$13*(1-$D$14)/(1+$D$26))*$D$15*$D$16)*D60,0)</x:f>
        <x:v>56.364355665508235</x:v>
      </x:c>
      <x:c r="J60" s="1" t="n">
        <x:f>IF(C60&gt;MAX($D$28,$D$29),(($D$13*(1-$D$14)/(1+$D$26))*$D$15*$D$16)*D60,0)</x:f>
        <x:v>56.364355665508235</x:v>
      </x:c>
      <x:c r="K60" s="1" t="n">
        <x:f>IF(C60&gt;MAX($D$33,$D$29),(($D$13*(1-$D$14)/(1+$D$26))*$D$15*$D$16)*8760/12*$D$34*D60,0)</x:f>
        <x:v>0</x:v>
      </x:c>
      <x:c r="L60" s="1" t="n">
        <x:f>IF(C60&gt;MAX($D$33,$D$29),(($D$13*(1-$D$14)/(1+$D$26))*$D$15*$D$16)*D60,0)</x:f>
        <x:v>0</x:v>
      </x:c>
    </x:row>
    <x:row r="61" ht="22" customHeight="1">
      <x:c r="C61" s="1" t="n">
        <x:v>21</x:v>
      </x:c>
      <x:c r="D61" s="3" t="n">
        <x:f>IF(C61&lt;=$D$30*12,(1+$D$31)^(-C61/12),0)</x:f>
        <x:v>0.8463749496565661</x:v>
      </x:c>
      <x:c r="E61" s="3" t="n">
        <x:f>IF(C61=MAX(1,ROUNDUP(MAX($D$27,$D$29),0)),$D$13*($D$22+$D$24)*1000000*D61,0)</x:f>
        <x:v>0</x:v>
      </x:c>
      <x:c r="F61" s="3" t="n">
        <x:f>IF(C61=MAX(1,ROUNDUP(MAX($D$28,$D$29),0)),$D$13*($D$23+$D$25)*1000000*D61,0)</x:f>
        <x:v>0</x:v>
      </x:c>
      <x:c r="G61" s="3" t="n">
        <x:f>IF(C61&gt;MAX($D$27,$D$29),(($D$13*(1-$D$14)/(1+$D$26))*$D$15*$D$16)*8760/12*($D$17*$D$18/1000+$D$20)*D61,0)</x:f>
        <x:v>2122664.51612764</x:v>
      </x:c>
      <x:c r="H61" s="1" t="n">
        <x:f>IF(C61&gt;MAX($D$28,$D$29),(($D$13*(1-$D$14)/(1+$D$26))*$D$15*$D$16)*8760/12*($D$17*$D$19/1000+$D$21)*D61,0)</x:f>
        <x:v>1660413.4972693827</x:v>
      </x:c>
      <x:c r="I61" s="1" t="n">
        <x:f>IF(C61&gt;MAX($D$27,$D$29),(($D$13*(1-$D$14)/(1+$D$26))*$D$15*$D$16)*D61,0)</x:f>
        <x:v>55.91845406026449</x:v>
      </x:c>
      <x:c r="J61" s="1" t="n">
        <x:f>IF(C61&gt;MAX($D$28,$D$29),(($D$13*(1-$D$14)/(1+$D$26))*$D$15*$D$16)*D61,0)</x:f>
        <x:v>55.91845406026449</x:v>
      </x:c>
      <x:c r="K61" s="1" t="n">
        <x:f>IF(C61&gt;MAX($D$33,$D$29),(($D$13*(1-$D$14)/(1+$D$26))*$D$15*$D$16)*8760/12*$D$34*D61,0)</x:f>
        <x:v>0</x:v>
      </x:c>
      <x:c r="L61" s="1" t="n">
        <x:f>IF(C61&gt;MAX($D$33,$D$29),(($D$13*(1-$D$14)/(1+$D$26))*$D$15*$D$16)*D61,0)</x:f>
        <x:v>0</x:v>
      </x:c>
    </x:row>
    <x:row r="62" ht="22" customHeight="1">
      <x:c r="C62" s="1" t="n">
        <x:v>22</x:v>
      </x:c>
      <x:c r="D62" s="3" t="n">
        <x:f>IF(C62&lt;=$D$30*12,(1+$D$31)^(-C62/12),0)</x:f>
        <x:v>0.8396792295647828</x:v>
      </x:c>
      <x:c r="E62" s="3" t="n">
        <x:f>IF(C62=MAX(1,ROUNDUP(MAX($D$27,$D$29),0)),$D$13*($D$22+$D$24)*1000000*D62,0)</x:f>
        <x:v>0</x:v>
      </x:c>
      <x:c r="F62" s="3" t="n">
        <x:f>IF(C62=MAX(1,ROUNDUP(MAX($D$28,$D$29),0)),$D$13*($D$23+$D$25)*1000000*D62,0)</x:f>
        <x:v>0</x:v>
      </x:c>
      <x:c r="G62" s="3" t="n">
        <x:f>IF(C62&gt;MAX($D$27,$D$29),(($D$13*(1-$D$14)/(1+$D$26))*$D$15*$D$16)*8760/12*($D$17*$D$18/1000+$D$20)*D62,0)</x:f>
        <x:v>2105871.9970974885</x:v>
      </x:c>
      <x:c r="H62" s="1" t="n">
        <x:f>IF(C62&gt;MAX($D$28,$D$29),(($D$13*(1-$D$14)/(1+$D$26))*$D$15*$D$16)*8760/12*($D$17*$D$19/1000+$D$21)*D62,0)</x:f>
        <x:v>1647277.872191105</x:v>
      </x:c>
      <x:c r="I62" s="1" t="n">
        <x:f>IF(C62&gt;MAX($D$27,$D$29),(($D$13*(1-$D$14)/(1+$D$26))*$D$15*$D$16)*D62,0)</x:f>
        <x:v>55.4760800078369</x:v>
      </x:c>
      <x:c r="J62" s="1" t="n">
        <x:f>IF(C62&gt;MAX($D$28,$D$29),(($D$13*(1-$D$14)/(1+$D$26))*$D$15*$D$16)*D62,0)</x:f>
        <x:v>55.4760800078369</x:v>
      </x:c>
      <x:c r="K62" s="1" t="n">
        <x:f>IF(C62&gt;MAX($D$33,$D$29),(($D$13*(1-$D$14)/(1+$D$26))*$D$15*$D$16)*8760/12*$D$34*D62,0)</x:f>
        <x:v>0</x:v>
      </x:c>
      <x:c r="L62" s="1" t="n">
        <x:f>IF(C62&gt;MAX($D$33,$D$29),(($D$13*(1-$D$14)/(1+$D$26))*$D$15*$D$16)*D62,0)</x:f>
        <x:v>0</x:v>
      </x:c>
    </x:row>
    <x:row r="63" ht="22" customHeight="1">
      <x:c r="C63" s="1" t="n">
        <x:v>23</x:v>
      </x:c>
      <x:c r="D63" s="3" t="n">
        <x:f>IF(C63&lt;=$D$30*12,(1+$D$31)^(-C63/12),0)</x:f>
        <x:v>0.8330364796933087</x:v>
      </x:c>
      <x:c r="E63" s="3" t="n">
        <x:f>IF(C63=MAX(1,ROUNDUP(MAX($D$27,$D$29),0)),$D$13*($D$22+$D$24)*1000000*D63,0)</x:f>
        <x:v>0</x:v>
      </x:c>
      <x:c r="F63" s="3" t="n">
        <x:f>IF(C63=MAX(1,ROUNDUP(MAX($D$28,$D$29),0)),$D$13*($D$23+$D$25)*1000000*D63,0)</x:f>
        <x:v>0</x:v>
      </x:c>
      <x:c r="G63" s="3" t="n">
        <x:f>IF(C63&gt;MAX($D$27,$D$29),(($D$13*(1-$D$14)/(1+$D$26))*$D$15*$D$16)*8760/12*($D$17*$D$18/1000+$D$20)*D63,0)</x:f>
        <x:v>2089212.3246350524</x:v>
      </x:c>
      <x:c r="H63" s="1" t="n">
        <x:f>IF(C63&gt;MAX($D$28,$D$29),(($D$13*(1-$D$14)/(1+$D$26))*$D$15*$D$16)*8760/12*($D$17*$D$19/1000+$D$21)*D63,0)</x:f>
        <x:v>1634246.1637856807</x:v>
      </x:c>
      <x:c r="I63" s="1" t="n">
        <x:f>IF(C63&gt;MAX($D$27,$D$29),(($D$13*(1-$D$14)/(1+$D$26))*$D$15*$D$16)*D63,0)</x:f>
        <x:v>55.03720560155564</x:v>
      </x:c>
      <x:c r="J63" s="1" t="n">
        <x:f>IF(C63&gt;MAX($D$28,$D$29),(($D$13*(1-$D$14)/(1+$D$26))*$D$15*$D$16)*D63,0)</x:f>
        <x:v>55.03720560155564</x:v>
      </x:c>
      <x:c r="K63" s="1" t="n">
        <x:f>IF(C63&gt;MAX($D$33,$D$29),(($D$13*(1-$D$14)/(1+$D$26))*$D$15*$D$16)*8760/12*$D$34*D63,0)</x:f>
        <x:v>0</x:v>
      </x:c>
      <x:c r="L63" s="1" t="n">
        <x:f>IF(C63&gt;MAX($D$33,$D$29),(($D$13*(1-$D$14)/(1+$D$26))*$D$15*$D$16)*D63,0)</x:f>
        <x:v>0</x:v>
      </x:c>
    </x:row>
    <x:row r="64" ht="22" customHeight="1">
      <x:c r="C64" s="1" t="n">
        <x:v>24</x:v>
      </x:c>
      <x:c r="D64" s="3" t="n">
        <x:f>IF(C64&lt;=$D$30*12,(1+$D$31)^(-C64/12),0)</x:f>
        <x:v>0.8264462809917354</x:v>
      </x:c>
      <x:c r="E64" s="3" t="n">
        <x:f>IF(C64=MAX(1,ROUNDUP(MAX($D$27,$D$29),0)),$D$13*($D$22+$D$24)*1000000*D64,0)</x:f>
        <x:v>0</x:v>
      </x:c>
      <x:c r="F64" s="3" t="n">
        <x:f>IF(C64=MAX(1,ROUNDUP(MAX($D$28,$D$29),0)),$D$13*($D$23+$D$25)*1000000*D64,0)</x:f>
        <x:v>0</x:v>
      </x:c>
      <x:c r="G64" s="3" t="n">
        <x:f>IF(C64&gt;MAX($D$27,$D$29),(($D$13*(1-$D$14)/(1+$D$26))*$D$15*$D$16)*8760/12*($D$17*$D$18/1000+$D$20)*D64,0)</x:f>
        <x:v>2072684.447783621</x:v>
      </x:c>
      <x:c r="H64" s="1" t="n">
        <x:f>IF(C64&gt;MAX($D$28,$D$29),(($D$13*(1-$D$14)/(1+$D$26))*$D$15*$D$16)*8760/12*($D$17*$D$19/1000+$D$21)*D64,0)</x:f>
        <x:v>1621317.5499624342</x:v>
      </x:c>
      <x:c r="I64" s="1" t="n">
        <x:f>IF(C64&gt;MAX($D$27,$D$29),(($D$13*(1-$D$14)/(1+$D$26))*$D$15*$D$16)*D64,0)</x:f>
        <x:v>54.601803155522155</x:v>
      </x:c>
      <x:c r="J64" s="1" t="n">
        <x:f>IF(C64&gt;MAX($D$28,$D$29),(($D$13*(1-$D$14)/(1+$D$26))*$D$15*$D$16)*D64,0)</x:f>
        <x:v>54.601803155522155</x:v>
      </x:c>
      <x:c r="K64" s="1" t="n">
        <x:f>IF(C64&gt;MAX($D$33,$D$29),(($D$13*(1-$D$14)/(1+$D$26))*$D$15*$D$16)*8760/12*$D$34*D64,0)</x:f>
        <x:v>0</x:v>
      </x:c>
      <x:c r="L64" s="1" t="n">
        <x:f>IF(C64&gt;MAX($D$33,$D$29),(($D$13*(1-$D$14)/(1+$D$26))*$D$15*$D$16)*D64,0)</x:f>
        <x:v>0</x:v>
      </x:c>
    </x:row>
    <x:row r="65" ht="22" customHeight="1">
      <x:c r="C65" s="1" t="n">
        <x:v>25</x:v>
      </x:c>
      <x:c r="D65" s="3" t="n">
        <x:f>IF(C65&lt;=$D$30*12,(1+$D$31)^(-C65/12),0)</x:f>
        <x:v>0.8199082177247857</x:v>
      </x:c>
      <x:c r="E65" s="3" t="n">
        <x:f>IF(C65=MAX(1,ROUNDUP(MAX($D$27,$D$29),0)),$D$13*($D$22+$D$24)*1000000*D65,0)</x:f>
        <x:v>0</x:v>
      </x:c>
      <x:c r="F65" s="3" t="n">
        <x:f>IF(C65=MAX(1,ROUNDUP(MAX($D$28,$D$29),0)),$D$13*($D$23+$D$25)*1000000*D65,0)</x:f>
        <x:v>0</x:v>
      </x:c>
      <x:c r="G65" s="3" t="n">
        <x:f>IF(C65&gt;MAX($D$27,$D$29),(($D$13*(1-$D$14)/(1+$D$26))*$D$15*$D$16)*8760/12*($D$17*$D$18/1000+$D$20)*D65,0)</x:f>
        <x:v>2056287.3239006621</x:v>
      </x:c>
      <x:c r="H65" s="1" t="n">
        <x:f>IF(C65&gt;MAX($D$28,$D$29),(($D$13*(1-$D$14)/(1+$D$26))*$D$15*$D$16)*8760/12*($D$17*$D$19/1000+$D$21)*D65,0)</x:f>
        <x:v>1608491.2151342952</x:v>
      </x:c>
      <x:c r="I65" s="1" t="n">
        <x:f>IF(C65&gt;MAX($D$27,$D$29),(($D$13*(1-$D$14)/(1+$D$26))*$D$15*$D$16)*D65,0)</x:f>
        <x:v>54.16984520286255</x:v>
      </x:c>
      <x:c r="J65" s="1" t="n">
        <x:f>IF(C65&gt;MAX($D$28,$D$29),(($D$13*(1-$D$14)/(1+$D$26))*$D$15*$D$16)*D65,0)</x:f>
        <x:v>54.16984520286255</x:v>
      </x:c>
      <x:c r="K65" s="1" t="n">
        <x:f>IF(C65&gt;MAX($D$33,$D$29),(($D$13*(1-$D$14)/(1+$D$26))*$D$15*$D$16)*8760/12*$D$34*D65,0)</x:f>
        <x:v>3163518.9598471727</x:v>
      </x:c>
      <x:c r="L65" s="1" t="n">
        <x:f>IF(C65&gt;MAX($D$33,$D$29),(($D$13*(1-$D$14)/(1+$D$26))*$D$15*$D$16)*D65,0)</x:f>
        <x:v>54.16984520286255</x:v>
      </x:c>
    </x:row>
    <x:row r="66" ht="22" customHeight="1">
      <x:c r="C66" s="1" t="n">
        <x:v>26</x:v>
      </x:c>
      <x:c r="D66" s="3" t="n">
        <x:f>IF(C66&lt;=$D$30*12,(1+$D$31)^(-C66/12),0)</x:f>
        <x:v>0.8134218774460882</x:v>
      </x:c>
      <x:c r="E66" s="3" t="n">
        <x:f>IF(C66=MAX(1,ROUNDUP(MAX($D$27,$D$29),0)),$D$13*($D$22+$D$24)*1000000*D66,0)</x:f>
        <x:v>0</x:v>
      </x:c>
      <x:c r="F66" s="3" t="n">
        <x:f>IF(C66=MAX(1,ROUNDUP(MAX($D$28,$D$29),0)),$D$13*($D$23+$D$25)*1000000*D66,0)</x:f>
        <x:v>0</x:v>
      </x:c>
      <x:c r="G66" s="3" t="n">
        <x:f>IF(C66&gt;MAX($D$27,$D$29),(($D$13*(1-$D$14)/(1+$D$26))*$D$15*$D$16)*8760/12*($D$17*$D$18/1000+$D$20)*D66,0)</x:f>
        <x:v>2040019.9185920486</x:v>
      </x:c>
      <x:c r="H66" s="1" t="n">
        <x:f>IF(C66&gt;MAX($D$28,$D$29),(($D$13*(1-$D$14)/(1+$D$26))*$D$15*$D$16)*8760/12*($D$17*$D$19/1000+$D$21)*D66,0)</x:f>
        <x:v>1595766.3501663497</x:v>
      </x:c>
      <x:c r="I66" s="1" t="n">
        <x:f>IF(C66&gt;MAX($D$27,$D$29),(($D$13*(1-$D$14)/(1+$D$26))*$D$15*$D$16)*D66,0)</x:f>
        <x:v>53.74130449399496</x:v>
      </x:c>
      <x:c r="J66" s="1" t="n">
        <x:f>IF(C66&gt;MAX($D$28,$D$29),(($D$13*(1-$D$14)/(1+$D$26))*$D$15*$D$16)*D66,0)</x:f>
        <x:v>53.74130449399496</x:v>
      </x:c>
      <x:c r="K66" s="1" t="n">
        <x:f>IF(C66&gt;MAX($D$33,$D$29),(($D$13*(1-$D$14)/(1+$D$26))*$D$15*$D$16)*8760/12*$D$34*D66,0)</x:f>
        <x:v>3138492.182449306</x:v>
      </x:c>
      <x:c r="L66" s="1" t="n">
        <x:f>IF(C66&gt;MAX($D$33,$D$29),(($D$13*(1-$D$14)/(1+$D$26))*$D$15*$D$16)*D66,0)</x:f>
        <x:v>53.74130449399496</x:v>
      </x:c>
    </x:row>
    <x:row r="67" ht="22" customHeight="1">
      <x:c r="C67" s="1" t="n">
        <x:v>27</x:v>
      </x:c>
      <x:c r="D67" s="3" t="n">
        <x:f>IF(C67&lt;=$D$30*12,(1+$D$31)^(-C67/12),0)</x:f>
        <x:v>0.8069868509721573</x:v>
      </x:c>
      <x:c r="E67" s="3" t="n">
        <x:f>IF(C67=MAX(1,ROUNDUP(MAX($D$27,$D$29),0)),$D$13*($D$22+$D$24)*1000000*D67,0)</x:f>
        <x:v>0</x:v>
      </x:c>
      <x:c r="F67" s="3" t="n">
        <x:f>IF(C67=MAX(1,ROUNDUP(MAX($D$28,$D$29),0)),$D$13*($D$23+$D$25)*1000000*D67,0)</x:f>
        <x:v>0</x:v>
      </x:c>
      <x:c r="G67" s="3" t="n">
        <x:f>IF(C67&gt;MAX($D$27,$D$29),(($D$13*(1-$D$14)/(1+$D$26))*$D$15*$D$16)*8760/12*($D$17*$D$18/1000+$D$20)*D67,0)</x:f>
        <x:v>2023881.2056468017</x:v>
      </x:c>
      <x:c r="H67" s="1" t="n">
        <x:f>IF(C67&gt;MAX($D$28,$D$29),(($D$13*(1-$D$14)/(1+$D$26))*$D$15*$D$16)*8760/12*($D$17*$D$19/1000+$D$21)*D67,0)</x:f>
        <x:v>1583142.1523247946</x:v>
      </x:c>
      <x:c r="I67" s="1" t="n">
        <x:f>IF(C67&gt;MAX($D$27,$D$29),(($D$13*(1-$D$14)/(1+$D$26))*$D$15*$D$16)*D67,0)</x:f>
        <x:v>53.31615399491048</x:v>
      </x:c>
      <x:c r="J67" s="1" t="n">
        <x:f>IF(C67&gt;MAX($D$28,$D$29),(($D$13*(1-$D$14)/(1+$D$26))*$D$15*$D$16)*D67,0)</x:f>
        <x:v>53.31615399491048</x:v>
      </x:c>
      <x:c r="K67" s="1" t="n">
        <x:f>IF(C67&gt;MAX($D$33,$D$29),(($D$13*(1-$D$14)/(1+$D$26))*$D$15*$D$16)*8760/12*$D$34*D67,0)</x:f>
        <x:v>3113663.393302772</x:v>
      </x:c>
      <x:c r="L67" s="1" t="n">
        <x:f>IF(C67&gt;MAX($D$33,$D$29),(($D$13*(1-$D$14)/(1+$D$26))*$D$15*$D$16)*D67,0)</x:f>
        <x:v>53.31615399491048</x:v>
      </x:c>
    </x:row>
    <x:row r="68" ht="22" customHeight="1">
      <x:c r="C68" s="1" t="n">
        <x:v>28</x:v>
      </x:c>
      <x:c r="D68" s="3" t="n">
        <x:f>IF(C68&lt;=$D$30*12,(1+$D$31)^(-C68/12),0)</x:f>
        <x:v>0.8006027323565819</x:v>
      </x:c>
      <x:c r="E68" s="3" t="n">
        <x:f>IF(C68=MAX(1,ROUNDUP(MAX($D$27,$D$29),0)),$D$13*($D$22+$D$24)*1000000*D68,0)</x:f>
        <x:v>0</x:v>
      </x:c>
      <x:c r="F68" s="3" t="n">
        <x:f>IF(C68=MAX(1,ROUNDUP(MAX($D$28,$D$29),0)),$D$13*($D$23+$D$25)*1000000*D68,0)</x:f>
        <x:v>0</x:v>
      </x:c>
      <x:c r="G68" s="3" t="n">
        <x:f>IF(C68&gt;MAX($D$27,$D$29),(($D$13*(1-$D$14)/(1+$D$26))*$D$15*$D$16)*8760/12*($D$17*$D$18/1000+$D$20)*D68,0)</x:f>
        <x:v>2007870.1669723578</x:v>
      </x:c>
      <x:c r="H68" s="1" t="n">
        <x:f>IF(C68&gt;MAX($D$28,$D$29),(($D$13*(1-$D$14)/(1+$D$26))*$D$15*$D$16)*8760/12*($D$17*$D$19/1000+$D$21)*D68,0)</x:f>
        <x:v>1570617.8252263006</x:v>
      </x:c>
      <x:c r="I68" s="1" t="n">
        <x:f>IF(C68&gt;MAX($D$27,$D$29),(($D$13*(1-$D$14)/(1+$D$26))*$D$15*$D$16)*D68,0)</x:f>
        <x:v>52.894366885467804</x:v>
      </x:c>
      <x:c r="J68" s="1" t="n">
        <x:f>IF(C68&gt;MAX($D$28,$D$29),(($D$13*(1-$D$14)/(1+$D$26))*$D$15*$D$16)*D68,0)</x:f>
        <x:v>52.894366885467804</x:v>
      </x:c>
      <x:c r="K68" s="1" t="n">
        <x:f>IF(C68&gt;MAX($D$33,$D$29),(($D$13*(1-$D$14)/(1+$D$26))*$D$15*$D$16)*8760/12*$D$34*D68,0)</x:f>
        <x:v>3089031.02611132</x:v>
      </x:c>
      <x:c r="L68" s="1" t="n">
        <x:f>IF(C68&gt;MAX($D$33,$D$29),(($D$13*(1-$D$14)/(1+$D$26))*$D$15*$D$16)*D68,0)</x:f>
        <x:v>52.894366885467804</x:v>
      </x:c>
    </x:row>
    <x:row r="69" ht="22" customHeight="1">
      <x:c r="C69" s="1" t="n">
        <x:v>29</x:v>
      </x:c>
      <x:c r="D69" s="3" t="n">
        <x:f>IF(C69&lt;=$D$30*12,(1+$D$31)^(-C69/12),0)</x:f>
        <x:v>0.7942691188644154</x:v>
      </x:c>
      <x:c r="E69" s="3" t="n">
        <x:f>IF(C69=MAX(1,ROUNDUP(MAX($D$27,$D$29),0)),$D$13*($D$22+$D$24)*1000000*D69,0)</x:f>
        <x:v>0</x:v>
      </x:c>
      <x:c r="F69" s="3" t="n">
        <x:f>IF(C69=MAX(1,ROUNDUP(MAX($D$28,$D$29),0)),$D$13*($D$23+$D$25)*1000000*D69,0)</x:f>
        <x:v>0</x:v>
      </x:c>
      <x:c r="G69" s="3" t="n">
        <x:f>IF(C69&gt;MAX($D$27,$D$29),(($D$13*(1-$D$14)/(1+$D$26))*$D$15*$D$16)*8760/12*($D$17*$D$18/1000+$D$20)*D69,0)</x:f>
        <x:v>1991985.79253034</x:v>
      </x:c>
      <x:c r="H69" s="1" t="n">
        <x:f>IF(C69&gt;MAX($D$28,$D$29),(($D$13*(1-$D$14)/(1+$D$26))*$D$15*$D$16)*8760/12*($D$17*$D$19/1000+$D$21)*D69,0)</x:f>
        <x:v>1558192.5787877715</x:v>
      </x:c>
      <x:c r="I69" s="1" t="n">
        <x:f>IF(C69&gt;MAX($D$27,$D$29),(($D$13*(1-$D$14)/(1+$D$26))*$D$15*$D$16)*D69,0)</x:f>
        <x:v>52.47591655770126</x:v>
      </x:c>
      <x:c r="J69" s="1" t="n">
        <x:f>IF(C69&gt;MAX($D$28,$D$29),(($D$13*(1-$D$14)/(1+$D$26))*$D$15*$D$16)*D69,0)</x:f>
        <x:v>52.47591655770126</x:v>
      </x:c>
      <x:c r="K69" s="1" t="n">
        <x:f>IF(C69&gt;MAX($D$33,$D$29),(($D$13*(1-$D$14)/(1+$D$26))*$D$15*$D$16)*8760/12*$D$34*D69,0)</x:f>
        <x:v>3064593.526969754</x:v>
      </x:c>
      <x:c r="L69" s="1" t="n">
        <x:f>IF(C69&gt;MAX($D$33,$D$29),(($D$13*(1-$D$14)/(1+$D$26))*$D$15*$D$16)*D69,0)</x:f>
        <x:v>52.47591655770126</x:v>
      </x:c>
    </x:row>
    <x:row r="70" ht="22" customHeight="1">
      <x:c r="C70" s="1" t="n">
        <x:v>30</x:v>
      </x:c>
      <x:c r="D70" s="3" t="n">
        <x:f>IF(C70&lt;=$D$30*12,(1+$D$31)^(-C70/12),0)</x:f>
        <x:v>0.7879856109467703</x:v>
      </x:c>
      <x:c r="E70" s="3" t="n">
        <x:f>IF(C70=MAX(1,ROUNDUP(MAX($D$27,$D$29),0)),$D$13*($D$22+$D$24)*1000000*D70,0)</x:f>
        <x:v>0</x:v>
      </x:c>
      <x:c r="F70" s="3" t="n">
        <x:f>IF(C70=MAX(1,ROUNDUP(MAX($D$28,$D$29),0)),$D$13*($D$23+$D$25)*1000000*D70,0)</x:f>
        <x:v>0</x:v>
      </x:c>
      <x:c r="G70" s="3" t="n">
        <x:f>IF(C70&gt;MAX($D$27,$D$29),(($D$13*(1-$D$14)/(1+$D$26))*$D$15*$D$16)*8760/12*($D$17*$D$18/1000+$D$20)*D70,0)</x:f>
        <x:v>1976227.0802728417</x:v>
      </x:c>
      <x:c r="H70" s="1" t="n">
        <x:f>IF(C70&gt;MAX($D$28,$D$29),(($D$13*(1-$D$14)/(1+$D$26))*$D$15*$D$16)*8760/12*($D$17*$D$19/1000+$D$21)*D70,0)</x:f>
        <x:v>1545865.6291765023</x:v>
      </x:c>
      <x:c r="I70" s="1" t="n">
        <x:f>IF(C70&gt;MAX($D$27,$D$29),(($D$13*(1-$D$14)/(1+$D$26))*$D$15*$D$16)*D70,0)</x:f>
        <x:v>52.0607766141423</x:v>
      </x:c>
      <x:c r="J70" s="1" t="n">
        <x:f>IF(C70&gt;MAX($D$28,$D$29),(($D$13*(1-$D$14)/(1+$D$26))*$D$15*$D$16)*D70,0)</x:f>
        <x:v>52.0607766141423</x:v>
      </x:c>
      <x:c r="K70" s="1" t="n">
        <x:f>IF(C70&gt;MAX($D$33,$D$29),(($D$13*(1-$D$14)/(1+$D$26))*$D$15*$D$16)*8760/12*$D$34*D70,0)</x:f>
        <x:v>3040349.3542659106</x:v>
      </x:c>
      <x:c r="L70" s="1" t="n">
        <x:f>IF(C70&gt;MAX($D$33,$D$29),(($D$13*(1-$D$14)/(1+$D$26))*$D$15*$D$16)*D70,0)</x:f>
        <x:v>52.0607766141423</x:v>
      </x:c>
    </x:row>
    <x:row r="71" ht="22" customHeight="1">
      <x:c r="C71" s="1" t="n">
        <x:v>31</x:v>
      </x:c>
      <x:c r="D71" s="3" t="n">
        <x:f>IF(C71&lt;=$D$30*12,(1+$D$31)^(-C71/12),0)</x:f>
        <x:v>0.7817518122156131</x:v>
      </x:c>
      <x:c r="E71" s="3" t="n">
        <x:f>IF(C71=MAX(1,ROUNDUP(MAX($D$27,$D$29),0)),$D$13*($D$22+$D$24)*1000000*D71,0)</x:f>
        <x:v>0</x:v>
      </x:c>
      <x:c r="F71" s="3" t="n">
        <x:f>IF(C71=MAX(1,ROUNDUP(MAX($D$28,$D$29),0)),$D$13*($D$23+$D$25)*1000000*D71,0)</x:f>
        <x:v>0</x:v>
      </x:c>
      <x:c r="G71" s="3" t="n">
        <x:f>IF(C71&gt;MAX($D$27,$D$29),(($D$13*(1-$D$14)/(1+$D$26))*$D$15*$D$16)*8760/12*($D$17*$D$18/1000+$D$20)*D71,0)</x:f>
        <x:v>1960593.0360792154</x:v>
      </x:c>
      <x:c r="H71" s="1" t="n">
        <x:f>IF(C71&gt;MAX($D$28,$D$29),(($D$13*(1-$D$14)/(1+$D$26))*$D$15*$D$16)*8760/12*($D$17*$D$19/1000+$D$21)*D71,0)</x:f>
        <x:v>1533636.1987607342</x:v>
      </x:c>
      <x:c r="I71" s="1" t="n">
        <x:f>IF(C71&gt;MAX($D$27,$D$29),(($D$13*(1-$D$14)/(1+$D$26))*$D$15*$D$16)*D71,0)</x:f>
        <x:v>51.64892086615425</x:v>
      </x:c>
      <x:c r="J71" s="1" t="n">
        <x:f>IF(C71&gt;MAX($D$28,$D$29),(($D$13*(1-$D$14)/(1+$D$26))*$D$15*$D$16)*D71,0)</x:f>
        <x:v>51.64892086615425</x:v>
      </x:c>
      <x:c r="K71" s="1" t="n">
        <x:f>IF(C71&gt;MAX($D$33,$D$29),(($D$13*(1-$D$14)/(1+$D$26))*$D$15*$D$16)*8760/12*$D$34*D71,0)</x:f>
        <x:v>3016296.9785834085</x:v>
      </x:c>
      <x:c r="L71" s="1" t="n">
        <x:f>IF(C71&gt;MAX($D$33,$D$29),(($D$13*(1-$D$14)/(1+$D$26))*$D$15*$D$16)*D71,0)</x:f>
        <x:v>51.64892086615425</x:v>
      </x:c>
    </x:row>
    <x:row r="72" ht="22" customHeight="1">
      <x:c r="C72" s="1" t="n">
        <x:v>32</x:v>
      </x:c>
      <x:c r="D72" s="3" t="n">
        <x:f>IF(C72&lt;=$D$30*12,(1+$D$31)^(-C72/12),0)</x:f>
        <x:v>0.7755673294187581</x:v>
      </x:c>
      <x:c r="E72" s="3" t="n">
        <x:f>IF(C72=MAX(1,ROUNDUP(MAX($D$27,$D$29),0)),$D$13*($D$22+$D$24)*1000000*D72,0)</x:f>
        <x:v>0</x:v>
      </x:c>
      <x:c r="F72" s="3" t="n">
        <x:f>IF(C72=MAX(1,ROUNDUP(MAX($D$28,$D$29),0)),$D$13*($D$23+$D$25)*1000000*D72,0)</x:f>
        <x:v>0</x:v>
      </x:c>
      <x:c r="G72" s="3" t="n">
        <x:f>IF(C72&gt;MAX($D$27,$D$29),(($D$13*(1-$D$14)/(1+$D$26))*$D$15*$D$16)*8760/12*($D$17*$D$18/1000+$D$20)*D72,0)</x:f>
        <x:v>1945082.673693357</x:v>
      </x:c>
      <x:c r="H72" s="1" t="n">
        <x:f>IF(C72&gt;MAX($D$28,$D$29),(($D$13*(1-$D$14)/(1+$D$26))*$D$15*$D$16)*8760/12*($D$17*$D$19/1000+$D$21)*D72,0)</x:f>
        <x:v>1521503.516060596</x:v>
      </x:c>
      <x:c r="I72" s="1" t="n">
        <x:f>IF(C72&gt;MAX($D$27,$D$29),(($D$13*(1-$D$14)/(1+$D$26))*$D$15*$D$16)*D72,0)</x:f>
        <x:v>51.24032333228021</x:v>
      </x:c>
      <x:c r="J72" s="1" t="n">
        <x:f>IF(C72&gt;MAX($D$28,$D$29),(($D$13*(1-$D$14)/(1+$D$26))*$D$15*$D$16)*D72,0)</x:f>
        <x:v>51.24032333228021</x:v>
      </x:c>
      <x:c r="K72" s="1" t="n">
        <x:f>IF(C72&gt;MAX($D$33,$D$29),(($D$13*(1-$D$14)/(1+$D$26))*$D$15*$D$16)*8760/12*$D$34*D72,0)</x:f>
        <x:v>2992434.882605165</x:v>
      </x:c>
      <x:c r="L72" s="1" t="n">
        <x:f>IF(C72&gt;MAX($D$33,$D$29),(($D$13*(1-$D$14)/(1+$D$26))*$D$15*$D$16)*D72,0)</x:f>
        <x:v>51.24032333228021</x:v>
      </x:c>
    </x:row>
    <x:row r="73" ht="22" customHeight="1">
      <x:c r="C73" s="1" t="n">
        <x:v>33</x:v>
      </x:c>
      <x:c r="D73" s="3" t="n">
        <x:f>IF(C73&lt;=$D$30*12,(1+$D$31)^(-C73/12),0)</x:f>
        <x:v>0.76943177241506</x:v>
      </x:c>
      <x:c r="E73" s="3" t="n">
        <x:f>IF(C73=MAX(1,ROUNDUP(MAX($D$27,$D$29),0)),$D$13*($D$22+$D$24)*1000000*D73,0)</x:f>
        <x:v>0</x:v>
      </x:c>
      <x:c r="F73" s="3" t="n">
        <x:f>IF(C73=MAX(1,ROUNDUP(MAX($D$28,$D$29),0)),$D$13*($D$23+$D$25)*1000000*D73,0)</x:f>
        <x:v>0</x:v>
      </x:c>
      <x:c r="G73" s="3" t="n">
        <x:f>IF(C73&gt;MAX($D$27,$D$29),(($D$13*(1-$D$14)/(1+$D$26))*$D$15*$D$16)*8760/12*($D$17*$D$18/1000+$D$20)*D73,0)</x:f>
        <x:v>1929695.0146614907</x:v>
      </x:c>
      <x:c r="H73" s="1" t="n">
        <x:f>IF(C73&gt;MAX($D$28,$D$29),(($D$13*(1-$D$14)/(1+$D$26))*$D$15*$D$16)*8760/12*($D$17*$D$19/1000+$D$21)*D73,0)</x:f>
        <x:v>1509466.8156994386</x:v>
      </x:c>
      <x:c r="I73" s="1" t="n">
        <x:f>IF(C73&gt;MAX($D$27,$D$29),(($D$13*(1-$D$14)/(1+$D$26))*$D$15*$D$16)*D73,0)</x:f>
        <x:v>50.83495823660407</x:v>
      </x:c>
      <x:c r="J73" s="1" t="n">
        <x:f>IF(C73&gt;MAX($D$28,$D$29),(($D$13*(1-$D$14)/(1+$D$26))*$D$15*$D$16)*D73,0)</x:f>
        <x:v>50.83495823660407</x:v>
      </x:c>
      <x:c r="K73" s="1" t="n">
        <x:f>IF(C73&gt;MAX($D$33,$D$29),(($D$13*(1-$D$14)/(1+$D$26))*$D$15*$D$16)*8760/12*$D$34*D73,0)</x:f>
        <x:v>2968761.561017678</x:v>
      </x:c>
      <x:c r="L73" s="1" t="n">
        <x:f>IF(C73&gt;MAX($D$33,$D$29),(($D$13*(1-$D$14)/(1+$D$26))*$D$15*$D$16)*D73,0)</x:f>
        <x:v>50.83495823660407</x:v>
      </x:c>
    </x:row>
    <x:row r="74" ht="22" customHeight="1">
      <x:c r="C74" s="1" t="n">
        <x:v>34</x:v>
      </x:c>
      <x:c r="D74" s="3" t="n">
        <x:f>IF(C74&lt;=$D$30*12,(1+$D$31)^(-C74/12),0)</x:f>
        <x:v>0.7633447541498025</x:v>
      </x:c>
      <x:c r="E74" s="3" t="n">
        <x:f>IF(C74=MAX(1,ROUNDUP(MAX($D$27,$D$29),0)),$D$13*($D$22+$D$24)*1000000*D74,0)</x:f>
        <x:v>0</x:v>
      </x:c>
      <x:c r="F74" s="3" t="n">
        <x:f>IF(C74=MAX(1,ROUNDUP(MAX($D$28,$D$29),0)),$D$13*($D$23+$D$25)*1000000*D74,0)</x:f>
        <x:v>0</x:v>
      </x:c>
      <x:c r="G74" s="3" t="n">
        <x:f>IF(C74&gt;MAX($D$27,$D$29),(($D$13*(1-$D$14)/(1+$D$26))*$D$15*$D$16)*8760/12*($D$17*$D$18/1000+$D$20)*D74,0)</x:f>
        <x:v>1914429.0882704442</x:v>
      </x:c>
      <x:c r="H74" s="1" t="n">
        <x:f>IF(C74&gt;MAX($D$28,$D$29),(($D$13*(1-$D$14)/(1+$D$26))*$D$15*$D$16)*8760/12*($D$17*$D$19/1000+$D$21)*D74,0)</x:f>
        <x:v>1497525.3383555498</x:v>
      </x:c>
      <x:c r="I74" s="1" t="n">
        <x:f>IF(C74&gt;MAX($D$27,$D$29),(($D$13*(1-$D$14)/(1+$D$26))*$D$15*$D$16)*D74,0)</x:f>
        <x:v>50.43280000712445</x:v>
      </x:c>
      <x:c r="J74" s="1" t="n">
        <x:f>IF(C74&gt;MAX($D$28,$D$29),(($D$13*(1-$D$14)/(1+$D$26))*$D$15*$D$16)*D74,0)</x:f>
        <x:v>50.43280000712445</x:v>
      </x:c>
      <x:c r="K74" s="1" t="n">
        <x:f>IF(C74&gt;MAX($D$33,$D$29),(($D$13*(1-$D$14)/(1+$D$26))*$D$15*$D$16)*8760/12*$D$34*D74,0)</x:f>
        <x:v>2945275.5204160684</x:v>
      </x:c>
      <x:c r="L74" s="1" t="n">
        <x:f>IF(C74&gt;MAX($D$33,$D$29),(($D$13*(1-$D$14)/(1+$D$26))*$D$15*$D$16)*D74,0)</x:f>
        <x:v>50.43280000712445</x:v>
      </x:c>
    </x:row>
    <x:row r="75" ht="22" customHeight="1">
      <x:c r="C75" s="1" t="n">
        <x:v>35</x:v>
      </x:c>
      <x:c r="D75" s="3" t="n">
        <x:f>IF(C75&lt;=$D$30*12,(1+$D$31)^(-C75/12),0)</x:f>
        <x:v>0.7573058906302806</x:v>
      </x:c>
      <x:c r="E75" s="3" t="n">
        <x:f>IF(C75=MAX(1,ROUNDUP(MAX($D$27,$D$29),0)),$D$13*($D$22+$D$24)*1000000*D75,0)</x:f>
        <x:v>0</x:v>
      </x:c>
      <x:c r="F75" s="3" t="n">
        <x:f>IF(C75=MAX(1,ROUNDUP(MAX($D$28,$D$29),0)),$D$13*($D$23+$D$25)*1000000*D75,0)</x:f>
        <x:v>0</x:v>
      </x:c>
      <x:c r="G75" s="3" t="n">
        <x:f>IF(C75&gt;MAX($D$27,$D$29),(($D$13*(1-$D$14)/(1+$D$26))*$D$15*$D$16)*8760/12*($D$17*$D$18/1000+$D$20)*D75,0)</x:f>
        <x:v>1899283.931486411</x:v>
      </x:c>
      <x:c r="H75" s="1" t="n">
        <x:f>IF(C75&gt;MAX($D$28,$D$29),(($D$13*(1-$D$14)/(1+$D$26))*$D$15*$D$16)*8760/12*($D$17*$D$19/1000+$D$21)*D75,0)</x:f>
        <x:v>1485678.330714255</x:v>
      </x:c>
      <x:c r="I75" s="1" t="n">
        <x:f>IF(C75&gt;MAX($D$27,$D$29),(($D$13*(1-$D$14)/(1+$D$26))*$D$15*$D$16)*D75,0)</x:f>
        <x:v>50.03382327414149</x:v>
      </x:c>
      <x:c r="J75" s="1" t="n">
        <x:f>IF(C75&gt;MAX($D$28,$D$29),(($D$13*(1-$D$14)/(1+$D$26))*$D$15*$D$16)*D75,0)</x:f>
        <x:v>50.03382327414149</x:v>
      </x:c>
      <x:c r="K75" s="1" t="n">
        <x:f>IF(C75&gt;MAX($D$33,$D$29),(($D$13*(1-$D$14)/(1+$D$26))*$D$15*$D$16)*8760/12*$D$34*D75,0)</x:f>
        <x:v>2921975.2792098634</x:v>
      </x:c>
      <x:c r="L75" s="1" t="n">
        <x:f>IF(C75&gt;MAX($D$33,$D$29),(($D$13*(1-$D$14)/(1+$D$26))*$D$15*$D$16)*D75,0)</x:f>
        <x:v>50.03382327414149</x:v>
      </x:c>
    </x:row>
    <x:row r="76" ht="22" customHeight="1">
      <x:c r="C76" s="1" t="n">
        <x:v>36</x:v>
      </x:c>
      <x:c r="D76" s="3" t="n">
        <x:f>IF(C76&lt;=$D$30*12,(1+$D$31)^(-C76/12),0)</x:f>
        <x:v>0.7513148009015775</x:v>
      </x:c>
      <x:c r="E76" s="3" t="n">
        <x:f>IF(C76=MAX(1,ROUNDUP(MAX($D$27,$D$29),0)),$D$13*($D$22+$D$24)*1000000*D76,0)</x:f>
        <x:v>0</x:v>
      </x:c>
      <x:c r="F76" s="3" t="n">
        <x:f>IF(C76=MAX(1,ROUNDUP(MAX($D$28,$D$29),0)),$D$13*($D$23+$D$25)*1000000*D76,0)</x:f>
        <x:v>0</x:v>
      </x:c>
      <x:c r="G76" s="3" t="n">
        <x:f>IF(C76&gt;MAX($D$27,$D$29),(($D$13*(1-$D$14)/(1+$D$26))*$D$15*$D$16)*8760/12*($D$17*$D$18/1000+$D$20)*D76,0)</x:f>
        <x:v>1884258.5888942005</x:v>
      </x:c>
      <x:c r="H76" s="1" t="n">
        <x:f>IF(C76&gt;MAX($D$28,$D$29),(($D$13*(1-$D$14)/(1+$D$26))*$D$15*$D$16)*8760/12*($D$17*$D$19/1000+$D$21)*D76,0)</x:f>
        <x:v>1473925.0454203945</x:v>
      </x:c>
      <x:c r="I76" s="1" t="n">
        <x:f>IF(C76&gt;MAX($D$27,$D$29),(($D$13*(1-$D$14)/(1+$D$26))*$D$15*$D$16)*D76,0)</x:f>
        <x:v>49.63800286865649</x:v>
      </x:c>
      <x:c r="J76" s="1" t="n">
        <x:f>IF(C76&gt;MAX($D$28,$D$29),(($D$13*(1-$D$14)/(1+$D$26))*$D$15*$D$16)*D76,0)</x:f>
        <x:v>49.63800286865649</x:v>
      </x:c>
      <x:c r="K76" s="1" t="n">
        <x:f>IF(C76&gt;MAX($D$33,$D$29),(($D$13*(1-$D$14)/(1+$D$26))*$D$15*$D$16)*8760/12*$D$34*D76,0)</x:f>
        <x:v>2898859.3675295394</x:v>
      </x:c>
      <x:c r="L76" s="1" t="n">
        <x:f>IF(C76&gt;MAX($D$33,$D$29),(($D$13*(1-$D$14)/(1+$D$26))*$D$15*$D$16)*D76,0)</x:f>
        <x:v>49.63800286865649</x:v>
      </x:c>
    </x:row>
    <x:row r="77" ht="22" customHeight="1">
      <x:c r="C77" s="1" t="n">
        <x:v>37</x:v>
      </x:c>
      <x:c r="D77" s="3" t="n">
        <x:f>IF(C77&lt;=$D$30*12,(1+$D$31)^(-C77/12),0)</x:f>
        <x:v>0.7453711070225324</x:v>
      </x:c>
      <x:c r="E77" s="3" t="n">
        <x:f>IF(C77=MAX(1,ROUNDUP(MAX($D$27,$D$29),0)),$D$13*($D$22+$D$24)*1000000*D77,0)</x:f>
        <x:v>0</x:v>
      </x:c>
      <x:c r="F77" s="3" t="n">
        <x:f>IF(C77=MAX(1,ROUNDUP(MAX($D$28,$D$29),0)),$D$13*($D$23+$D$25)*1000000*D77,0)</x:f>
        <x:v>0</x:v>
      </x:c>
      <x:c r="G77" s="3" t="n">
        <x:f>IF(C77&gt;MAX($D$27,$D$29),(($D$13*(1-$D$14)/(1+$D$26))*$D$15*$D$16)*8760/12*($D$17*$D$18/1000+$D$20)*D77,0)</x:f>
        <x:v>1869352.1126369655</x:v>
      </x:c>
      <x:c r="H77" s="1" t="n">
        <x:f>IF(C77&gt;MAX($D$28,$D$29),(($D$13*(1-$D$14)/(1+$D$26))*$D$15*$D$16)*8760/12*($D$17*$D$19/1000+$D$21)*D77,0)</x:f>
        <x:v>1462264.741031177</x:v>
      </x:c>
      <x:c r="I77" s="1" t="n">
        <x:f>IF(C77&gt;MAX($D$27,$D$29),(($D$13*(1-$D$14)/(1+$D$26))*$D$15*$D$16)*D77,0)</x:f>
        <x:v>49.245313820784126</x:v>
      </x:c>
      <x:c r="J77" s="1" t="n">
        <x:f>IF(C77&gt;MAX($D$28,$D$29),(($D$13*(1-$D$14)/(1+$D$26))*$D$15*$D$16)*D77,0)</x:f>
        <x:v>49.245313820784126</x:v>
      </x:c>
      <x:c r="K77" s="1" t="n">
        <x:f>IF(C77&gt;MAX($D$33,$D$29),(($D$13*(1-$D$14)/(1+$D$26))*$D$15*$D$16)*8760/12*$D$34*D77,0)</x:f>
        <x:v>2875926.3271337934</x:v>
      </x:c>
      <x:c r="L77" s="1" t="n">
        <x:f>IF(C77&gt;MAX($D$33,$D$29),(($D$13*(1-$D$14)/(1+$D$26))*$D$15*$D$16)*D77,0)</x:f>
        <x:v>49.245313820784126</x:v>
      </x:c>
    </x:row>
    <x:row r="78" ht="22" customHeight="1">
      <x:c r="C78" s="1" t="n">
        <x:v>38</x:v>
      </x:c>
      <x:c r="D78" s="3" t="n">
        <x:f>IF(C78&lt;=$D$30*12,(1+$D$31)^(-C78/12),0)</x:f>
        <x:v>0.7394744340418983</x:v>
      </x:c>
      <x:c r="E78" s="3" t="n">
        <x:f>IF(C78=MAX(1,ROUNDUP(MAX($D$27,$D$29),0)),$D$13*($D$22+$D$24)*1000000*D78,0)</x:f>
        <x:v>0</x:v>
      </x:c>
      <x:c r="F78" s="3" t="n">
        <x:f>IF(C78=MAX(1,ROUNDUP(MAX($D$28,$D$29),0)),$D$13*($D$23+$D$25)*1000000*D78,0)</x:f>
        <x:v>0</x:v>
      </x:c>
      <x:c r="G78" s="3" t="n">
        <x:f>IF(C78&gt;MAX($D$27,$D$29),(($D$13*(1-$D$14)/(1+$D$26))*$D$15*$D$16)*8760/12*($D$17*$D$18/1000+$D$20)*D78,0)</x:f>
        <x:v>1854563.5623564078</x:v>
      </x:c>
      <x:c r="H78" s="1" t="n">
        <x:f>IF(C78&gt;MAX($D$28,$D$29),(($D$13*(1-$D$14)/(1+$D$26))*$D$15*$D$16)*8760/12*($D$17*$D$19/1000+$D$21)*D78,0)</x:f>
        <x:v>1450696.6819694086</x:v>
      </x:c>
      <x:c r="I78" s="1" t="n">
        <x:f>IF(C78&gt;MAX($D$27,$D$29),(($D$13*(1-$D$14)/(1+$D$26))*$D$15*$D$16)*D78,0)</x:f>
        <x:v>48.85573135817723</x:v>
      </x:c>
      <x:c r="J78" s="1" t="n">
        <x:f>IF(C78&gt;MAX($D$28,$D$29),(($D$13*(1-$D$14)/(1+$D$26))*$D$15*$D$16)*D78,0)</x:f>
        <x:v>48.85573135817723</x:v>
      </x:c>
      <x:c r="K78" s="1" t="n">
        <x:f>IF(C78&gt;MAX($D$33,$D$29),(($D$13*(1-$D$14)/(1+$D$26))*$D$15*$D$16)*8760/12*$D$34*D78,0)</x:f>
        <x:v>2853174.7113175504</x:v>
      </x:c>
      <x:c r="L78" s="1" t="n">
        <x:f>IF(C78&gt;MAX($D$33,$D$29),(($D$13*(1-$D$14)/(1+$D$26))*$D$15*$D$16)*D78,0)</x:f>
        <x:v>48.85573135817723</x:v>
      </x:c>
    </x:row>
    <x:row r="79" ht="22" customHeight="1">
      <x:c r="C79" s="1" t="n">
        <x:v>39</x:v>
      </x:c>
      <x:c r="D79" s="3" t="n">
        <x:f>IF(C79&lt;=$D$30*12,(1+$D$31)^(-C79/12),0)</x:f>
        <x:v>0.7336244099746885</x:v>
      </x:c>
      <x:c r="E79" s="3" t="n">
        <x:f>IF(C79=MAX(1,ROUNDUP(MAX($D$27,$D$29),0)),$D$13*($D$22+$D$24)*1000000*D79,0)</x:f>
        <x:v>0</x:v>
      </x:c>
      <x:c r="F79" s="3" t="n">
        <x:f>IF(C79=MAX(1,ROUNDUP(MAX($D$28,$D$29),0)),$D$13*($D$23+$D$25)*1000000*D79,0)</x:f>
        <x:v>0</x:v>
      </x:c>
      <x:c r="G79" s="3" t="n">
        <x:f>IF(C79&gt;MAX($D$27,$D$29),(($D$13*(1-$D$14)/(1+$D$26))*$D$15*$D$16)*8760/12*($D$17*$D$18/1000+$D$20)*D79,0)</x:f>
        <x:v>1839892.0051334563</x:v>
      </x:c>
      <x:c r="H79" s="1" t="n">
        <x:f>IF(C79&gt;MAX($D$28,$D$29),(($D$13*(1-$D$14)/(1+$D$26))*$D$15*$D$16)*8760/12*($D$17*$D$19/1000+$D$21)*D79,0)</x:f>
        <x:v>1439220.138477086</x:v>
      </x:c>
      <x:c r="I79" s="1" t="n">
        <x:f>IF(C79&gt;MAX($D$27,$D$29),(($D$13*(1-$D$14)/(1+$D$26))*$D$15*$D$16)*D79,0)</x:f>
        <x:v>48.46923090446408</x:v>
      </x:c>
      <x:c r="J79" s="1" t="n">
        <x:f>IF(C79&gt;MAX($D$28,$D$29),(($D$13*(1-$D$14)/(1+$D$26))*$D$15*$D$16)*D79,0)</x:f>
        <x:v>48.46923090446408</x:v>
      </x:c>
      <x:c r="K79" s="1" t="n">
        <x:f>IF(C79&gt;MAX($D$33,$D$29),(($D$13*(1-$D$14)/(1+$D$26))*$D$15*$D$16)*8760/12*$D$34*D79,0)</x:f>
        <x:v>2830603.084820702</x:v>
      </x:c>
      <x:c r="L79" s="1" t="n">
        <x:f>IF(C79&gt;MAX($D$33,$D$29),(($D$13*(1-$D$14)/(1+$D$26))*$D$15*$D$16)*D79,0)</x:f>
        <x:v>48.46923090446408</x:v>
      </x:c>
    </x:row>
    <x:row r="80" ht="22" customHeight="1">
      <x:c r="C80" s="1" t="n">
        <x:v>40</x:v>
      </x:c>
      <x:c r="D80" s="3" t="n">
        <x:f>IF(C80&lt;=$D$30*12,(1+$D$31)^(-C80/12),0)</x:f>
        <x:v>0.7278206657787107</x:v>
      </x:c>
      <x:c r="E80" s="3" t="n">
        <x:f>IF(C80=MAX(1,ROUNDUP(MAX($D$27,$D$29),0)),$D$13*($D$22+$D$24)*1000000*D80,0)</x:f>
        <x:v>0</x:v>
      </x:c>
      <x:c r="F80" s="3" t="n">
        <x:f>IF(C80=MAX(1,ROUNDUP(MAX($D$28,$D$29),0)),$D$13*($D$23+$D$25)*1000000*D80,0)</x:f>
        <x:v>0</x:v>
      </x:c>
      <x:c r="G80" s="3" t="n">
        <x:f>IF(C80&gt;MAX($D$27,$D$29),(($D$13*(1-$D$14)/(1+$D$26))*$D$15*$D$16)*8760/12*($D$17*$D$18/1000+$D$20)*D80,0)</x:f>
        <x:v>1825336.515429416</x:v>
      </x:c>
      <x:c r="H80" s="1" t="n">
        <x:f>IF(C80&gt;MAX($D$28,$D$29),(($D$13*(1-$D$14)/(1+$D$26))*$D$15*$D$16)*8760/12*($D$17*$D$19/1000+$D$21)*D80,0)</x:f>
        <x:v>1427834.3865693642</x:v>
      </x:c>
      <x:c r="I80" s="1" t="n">
        <x:f>IF(C80&gt;MAX($D$27,$D$29),(($D$13*(1-$D$14)/(1+$D$26))*$D$15*$D$16)*D80,0)</x:f>
        <x:v>48.085788077698</x:v>
      </x:c>
      <x:c r="J80" s="1" t="n">
        <x:f>IF(C80&gt;MAX($D$28,$D$29),(($D$13*(1-$D$14)/(1+$D$26))*$D$15*$D$16)*D80,0)</x:f>
        <x:v>48.085788077698</x:v>
      </x:c>
      <x:c r="K80" s="1" t="n">
        <x:f>IF(C80&gt;MAX($D$33,$D$29),(($D$13*(1-$D$14)/(1+$D$26))*$D$15*$D$16)*8760/12*$D$34*D80,0)</x:f>
        <x:v>2808210.0237375633</x:v>
      </x:c>
      <x:c r="L80" s="1" t="n">
        <x:f>IF(C80&gt;MAX($D$33,$D$29),(($D$13*(1-$D$14)/(1+$D$26))*$D$15*$D$16)*D80,0)</x:f>
        <x:v>48.085788077698</x:v>
      </x:c>
    </x:row>
    <x:row r="81" ht="22" customHeight="1">
      <x:c r="C81" s="1" t="n">
        <x:v>41</x:v>
      </x:c>
      <x:c r="D81" s="3" t="n">
        <x:f>IF(C81&lt;=$D$30*12,(1+$D$31)^(-C81/12),0)</x:f>
        <x:v>0.7220628353312867</x:v>
      </x:c>
      <x:c r="E81" s="3" t="n">
        <x:f>IF(C81=MAX(1,ROUNDUP(MAX($D$27,$D$29),0)),$D$13*($D$22+$D$24)*1000000*D81,0)</x:f>
        <x:v>0</x:v>
      </x:c>
      <x:c r="F81" s="3" t="n">
        <x:f>IF(C81=MAX(1,ROUNDUP(MAX($D$28,$D$29),0)),$D$13*($D$23+$D$25)*1000000*D81,0)</x:f>
        <x:v>0</x:v>
      </x:c>
      <x:c r="G81" s="3" t="n">
        <x:f>IF(C81&gt;MAX($D$27,$D$29),(($D$13*(1-$D$14)/(1+$D$26))*$D$15*$D$16)*8760/12*($D$17*$D$18/1000+$D$20)*D81,0)</x:f>
        <x:v>1810896.1750275816</x:v>
      </x:c>
      <x:c r="H81" s="1" t="n">
        <x:f>IF(C81&gt;MAX($D$28,$D$29),(($D$13*(1-$D$14)/(1+$D$26))*$D$15*$D$16)*8760/12*($D$17*$D$19/1000+$D$21)*D81,0)</x:f>
        <x:v>1416538.707988883</x:v>
      </x:c>
      <x:c r="I81" s="1" t="n">
        <x:f>IF(C81&gt;MAX($D$27,$D$29),(($D$13*(1-$D$14)/(1+$D$26))*$D$15*$D$16)*D81,0)</x:f>
        <x:v>47.70537868881932</x:v>
      </x:c>
      <x:c r="J81" s="1" t="n">
        <x:f>IF(C81&gt;MAX($D$28,$D$29),(($D$13*(1-$D$14)/(1+$D$26))*$D$15*$D$16)*D81,0)</x:f>
        <x:v>47.70537868881932</x:v>
      </x:c>
      <x:c r="K81" s="1" t="n">
        <x:f>IF(C81&gt;MAX($D$33,$D$29),(($D$13*(1-$D$14)/(1+$D$26))*$D$15*$D$16)*8760/12*$D$34*D81,0)</x:f>
        <x:v>2785994.115427049</x:v>
      </x:c>
      <x:c r="L81" s="1" t="n">
        <x:f>IF(C81&gt;MAX($D$33,$D$29),(($D$13*(1-$D$14)/(1+$D$26))*$D$15*$D$16)*D81,0)</x:f>
        <x:v>47.70537868881932</x:v>
      </x:c>
    </x:row>
    <x:row r="82" ht="22" customHeight="1">
      <x:c r="C82" s="1" t="n">
        <x:v>42</x:v>
      </x:c>
      <x:c r="D82" s="3" t="n">
        <x:f>IF(C82&lt;=$D$30*12,(1+$D$31)^(-C82/12),0)</x:f>
        <x:v>0.7163505554061548</x:v>
      </x:c>
      <x:c r="E82" s="3" t="n">
        <x:f>IF(C82=MAX(1,ROUNDUP(MAX($D$27,$D$29),0)),$D$13*($D$22+$D$24)*1000000*D82,0)</x:f>
        <x:v>0</x:v>
      </x:c>
      <x:c r="F82" s="3" t="n">
        <x:f>IF(C82=MAX(1,ROUNDUP(MAX($D$28,$D$29),0)),$D$13*($D$23+$D$25)*1000000*D82,0)</x:f>
        <x:v>0</x:v>
      </x:c>
      <x:c r="G82" s="3" t="n">
        <x:f>IF(C82&gt;MAX($D$27,$D$29),(($D$13*(1-$D$14)/(1+$D$26))*$D$15*$D$16)*8760/12*($D$17*$D$18/1000+$D$20)*D82,0)</x:f>
        <x:v>1796570.0729753105</x:v>
      </x:c>
      <x:c r="H82" s="1" t="n">
        <x:f>IF(C82&gt;MAX($D$28,$D$29),(($D$13*(1-$D$14)/(1+$D$26))*$D$15*$D$16)*8760/12*($D$17*$D$19/1000+$D$21)*D82,0)</x:f>
        <x:v>1405332.3901604565</x:v>
      </x:c>
      <x:c r="I82" s="1" t="n">
        <x:f>IF(C82&gt;MAX($D$27,$D$29),(($D$13*(1-$D$14)/(1+$D$26))*$D$15*$D$16)*D82,0)</x:f>
        <x:v>47.32797874012936</x:v>
      </x:c>
      <x:c r="J82" s="1" t="n">
        <x:f>IF(C82&gt;MAX($D$28,$D$29),(($D$13*(1-$D$14)/(1+$D$26))*$D$15*$D$16)*D82,0)</x:f>
        <x:v>47.32797874012936</x:v>
      </x:c>
      <x:c r="K82" s="1" t="n">
        <x:f>IF(C82&gt;MAX($D$33,$D$29),(($D$13*(1-$D$14)/(1+$D$26))*$D$15*$D$16)*8760/12*$D$34*D82,0)</x:f>
        <x:v>2763953.958423555</x:v>
      </x:c>
      <x:c r="L82" s="1" t="n">
        <x:f>IF(C82&gt;MAX($D$33,$D$29),(($D$13*(1-$D$14)/(1+$D$26))*$D$15*$D$16)*D82,0)</x:f>
        <x:v>47.32797874012936</x:v>
      </x:c>
    </x:row>
    <x:row r="83" ht="22" customHeight="1">
      <x:c r="C83" s="1" t="n">
        <x:v>43</x:v>
      </x:c>
      <x:c r="D83" s="3" t="n">
        <x:f>IF(C83&lt;=$D$30*12,(1+$D$31)^(-C83/12),0)</x:f>
        <x:v>0.7106834656505573</x:v>
      </x:c>
      <x:c r="E83" s="3" t="n">
        <x:f>IF(C83=MAX(1,ROUNDUP(MAX($D$27,$D$29),0)),$D$13*($D$22+$D$24)*1000000*D83,0)</x:f>
        <x:v>0</x:v>
      </x:c>
      <x:c r="F83" s="3" t="n">
        <x:f>IF(C83=MAX(1,ROUNDUP(MAX($D$28,$D$29),0)),$D$13*($D$23+$D$25)*1000000*D83,0)</x:f>
        <x:v>0</x:v>
      </x:c>
      <x:c r="G83" s="3" t="n">
        <x:f>IF(C83&gt;MAX($D$27,$D$29),(($D$13*(1-$D$14)/(1+$D$26))*$D$15*$D$16)*8760/12*($D$17*$D$18/1000+$D$20)*D83,0)</x:f>
        <x:v>1782357.3055265592</x:v>
      </x:c>
      <x:c r="H83" s="1" t="n">
        <x:f>IF(C83&gt;MAX($D$28,$D$29),(($D$13*(1-$D$14)/(1+$D$26))*$D$15*$D$16)*8760/12*($D$17*$D$19/1000+$D$21)*D83,0)</x:f>
        <x:v>1394214.7261461217</x:v>
      </x:c>
      <x:c r="I83" s="1" t="n">
        <x:f>IF(C83&gt;MAX($D$27,$D$29),(($D$13*(1-$D$14)/(1+$D$26))*$D$15*$D$16)*D83,0)</x:f>
        <x:v>46.95356442377659</x:v>
      </x:c>
      <x:c r="J83" s="1" t="n">
        <x:f>IF(C83&gt;MAX($D$28,$D$29),(($D$13*(1-$D$14)/(1+$D$26))*$D$15*$D$16)*D83,0)</x:f>
        <x:v>46.95356442377659</x:v>
      </x:c>
      <x:c r="K83" s="1" t="n">
        <x:f>IF(C83&gt;MAX($D$33,$D$29),(($D$13*(1-$D$14)/(1+$D$26))*$D$15*$D$16)*8760/12*$D$34*D83,0)</x:f>
        <x:v>2742088.162348553</x:v>
      </x:c>
      <x:c r="L83" s="1" t="n">
        <x:f>IF(C83&gt;MAX($D$33,$D$29),(($D$13*(1-$D$14)/(1+$D$26))*$D$15*$D$16)*D83,0)</x:f>
        <x:v>46.95356442377659</x:v>
      </x:c>
    </x:row>
    <x:row r="84" ht="22" customHeight="1">
      <x:c r="C84" s="1" t="n">
        <x:v>44</x:v>
      </x:c>
      <x:c r="D84" s="3" t="n">
        <x:f>IF(C84&lt;=$D$30*12,(1+$D$31)^(-C84/12),0)</x:f>
        <x:v>0.7050612085625072</x:v>
      </x:c>
      <x:c r="E84" s="3" t="n">
        <x:f>IF(C84=MAX(1,ROUNDUP(MAX($D$27,$D$29),0)),$D$13*($D$22+$D$24)*1000000*D84,0)</x:f>
        <x:v>0</x:v>
      </x:c>
      <x:c r="F84" s="3" t="n">
        <x:f>IF(C84=MAX(1,ROUNDUP(MAX($D$28,$D$29),0)),$D$13*($D$23+$D$25)*1000000*D84,0)</x:f>
        <x:v>0</x:v>
      </x:c>
      <x:c r="G84" s="3" t="n">
        <x:f>IF(C84&gt;MAX($D$27,$D$29),(($D$13*(1-$D$14)/(1+$D$26))*$D$15*$D$16)*8760/12*($D$17*$D$18/1000+$D$20)*D84,0)</x:f>
        <x:v>1768256.9760848698</x:v>
      </x:c>
      <x:c r="H84" s="1" t="n">
        <x:f>IF(C84&gt;MAX($D$28,$D$29),(($D$13*(1-$D$14)/(1+$D$26))*$D$15*$D$16)*8760/12*($D$17*$D$19/1000+$D$21)*D84,0)</x:f>
        <x:v>1383185.0146005417</x:v>
      </x:c>
      <x:c r="I84" s="1" t="n">
        <x:f>IF(C84&gt;MAX($D$27,$D$29),(($D$13*(1-$D$14)/(1+$D$26))*$D$15*$D$16)*D84,0)</x:f>
        <x:v>46.582112120254735</x:v>
      </x:c>
      <x:c r="J84" s="1" t="n">
        <x:f>IF(C84&gt;MAX($D$28,$D$29),(($D$13*(1-$D$14)/(1+$D$26))*$D$15*$D$16)*D84,0)</x:f>
        <x:v>46.582112120254735</x:v>
      </x:c>
      <x:c r="K84" s="1" t="n">
        <x:f>IF(C84&gt;MAX($D$33,$D$29),(($D$13*(1-$D$14)/(1+$D$26))*$D$15*$D$16)*8760/12*$D$34*D84,0)</x:f>
        <x:v>2720395.3478228766</x:v>
      </x:c>
      <x:c r="L84" s="1" t="n">
        <x:f>IF(C84&gt;MAX($D$33,$D$29),(($D$13*(1-$D$14)/(1+$D$26))*$D$15*$D$16)*D84,0)</x:f>
        <x:v>46.582112120254735</x:v>
      </x:c>
    </x:row>
    <x:row r="85" ht="22" customHeight="1">
      <x:c r="C85" s="1" t="n">
        <x:v>45</x:v>
      </x:c>
      <x:c r="D85" s="3" t="n">
        <x:f>IF(C85&lt;=$D$30*12,(1+$D$31)^(-C85/12),0)</x:f>
        <x:v>0.6994834294682364</x:v>
      </x:c>
      <x:c r="E85" s="3" t="n">
        <x:f>IF(C85=MAX(1,ROUNDUP(MAX($D$27,$D$29),0)),$D$13*($D$22+$D$24)*1000000*D85,0)</x:f>
        <x:v>0</x:v>
      </x:c>
      <x:c r="F85" s="3" t="n">
        <x:f>IF(C85=MAX(1,ROUNDUP(MAX($D$28,$D$29),0)),$D$13*($D$23+$D$25)*1000000*D85,0)</x:f>
        <x:v>0</x:v>
      </x:c>
      <x:c r="G85" s="3" t="n">
        <x:f>IF(C85&gt;MAX($D$27,$D$29),(($D$13*(1-$D$14)/(1+$D$26))*$D$15*$D$16)*8760/12*($D$17*$D$18/1000+$D$20)*D85,0)</x:f>
        <x:v>1754268.1951468098</x:v>
      </x:c>
      <x:c r="H85" s="1" t="n">
        <x:f>IF(C85&gt;MAX($D$28,$D$29),(($D$13*(1-$D$14)/(1+$D$26))*$D$15*$D$16)*8760/12*($D$17*$D$19/1000+$D$21)*D85,0)</x:f>
        <x:v>1372242.5597267624</x:v>
      </x:c>
      <x:c r="I85" s="1" t="n">
        <x:f>IF(C85&gt;MAX($D$27,$D$29),(($D$13*(1-$D$14)/(1+$D$26))*$D$15*$D$16)*D85,0)</x:f>
        <x:v>46.21359839691279</x:v>
      </x:c>
      <x:c r="J85" s="1" t="n">
        <x:f>IF(C85&gt;MAX($D$28,$D$29),(($D$13*(1-$D$14)/(1+$D$26))*$D$15*$D$16)*D85,0)</x:f>
        <x:v>46.21359839691279</x:v>
      </x:c>
      <x:c r="K85" s="1" t="n">
        <x:f>IF(C85&gt;MAX($D$33,$D$29),(($D$13*(1-$D$14)/(1+$D$26))*$D$15*$D$16)*8760/12*$D$34*D85,0)</x:f>
        <x:v>2698874.1463797074</x:v>
      </x:c>
      <x:c r="L85" s="1" t="n">
        <x:f>IF(C85&gt;MAX($D$33,$D$29),(($D$13*(1-$D$14)/(1+$D$26))*$D$15*$D$16)*D85,0)</x:f>
        <x:v>46.21359839691279</x:v>
      </x:c>
    </x:row>
    <x:row r="86" ht="22" customHeight="1">
      <x:c r="C86" s="1" t="n">
        <x:v>46</x:v>
      </x:c>
      <x:c r="D86" s="3" t="n">
        <x:f>IF(C86&lt;=$D$30*12,(1+$D$31)^(-C86/12),0)</x:f>
        <x:v>0.6939497764998204</x:v>
      </x:c>
      <x:c r="E86" s="3" t="n">
        <x:f>IF(C86=MAX(1,ROUNDUP(MAX($D$27,$D$29),0)),$D$13*($D$22+$D$24)*1000000*D86,0)</x:f>
        <x:v>0</x:v>
      </x:c>
      <x:c r="F86" s="3" t="n">
        <x:f>IF(C86=MAX(1,ROUNDUP(MAX($D$28,$D$29),0)),$D$13*($D$23+$D$25)*1000000*D86,0)</x:f>
        <x:v>0</x:v>
      </x:c>
      <x:c r="G86" s="3" t="n">
        <x:f>IF(C86&gt;MAX($D$27,$D$29),(($D$13*(1-$D$14)/(1+$D$26))*$D$15*$D$16)*8760/12*($D$17*$D$18/1000+$D$20)*D86,0)</x:f>
        <x:v>1740390.080245858</x:v>
      </x:c>
      <x:c r="H86" s="1" t="n">
        <x:f>IF(C86&gt;MAX($D$28,$D$29),(($D$13*(1-$D$14)/(1+$D$26))*$D$15*$D$16)*8760/12*($D$17*$D$19/1000+$D$21)*D86,0)</x:f>
        <x:v>1361386.6712323178</x:v>
      </x:c>
      <x:c r="I86" s="1" t="n">
        <x:f>IF(C86&gt;MAX($D$27,$D$29),(($D$13*(1-$D$14)/(1+$D$26))*$D$15*$D$16)*D86,0)</x:f>
        <x:v>45.84800000647677</x:v>
      </x:c>
      <x:c r="J86" s="1" t="n">
        <x:f>IF(C86&gt;MAX($D$28,$D$29),(($D$13*(1-$D$14)/(1+$D$26))*$D$15*$D$16)*D86,0)</x:f>
        <x:v>45.84800000647677</x:v>
      </x:c>
      <x:c r="K86" s="1" t="n">
        <x:f>IF(C86&gt;MAX($D$33,$D$29),(($D$13*(1-$D$14)/(1+$D$26))*$D$15*$D$16)*8760/12*$D$34*D86,0)</x:f>
        <x:v>2677523.2003782433</x:v>
      </x:c>
      <x:c r="L86" s="1" t="n">
        <x:f>IF(C86&gt;MAX($D$33,$D$29),(($D$13*(1-$D$14)/(1+$D$26))*$D$15*$D$16)*D86,0)</x:f>
        <x:v>45.84800000647677</x:v>
      </x:c>
    </x:row>
    <x:row r="87" ht="22" customHeight="1">
      <x:c r="C87" s="1" t="n">
        <x:v>47</x:v>
      </x:c>
      <x:c r="D87" s="3" t="n">
        <x:f>IF(C87&lt;=$D$30*12,(1+$D$31)^(-C87/12),0)</x:f>
        <x:v>0.6884599005729823</x:v>
      </x:c>
      <x:c r="E87" s="3" t="n">
        <x:f>IF(C87=MAX(1,ROUNDUP(MAX($D$27,$D$29),0)),$D$13*($D$22+$D$24)*1000000*D87,0)</x:f>
        <x:v>0</x:v>
      </x:c>
      <x:c r="F87" s="3" t="n">
        <x:f>IF(C87=MAX(1,ROUNDUP(MAX($D$28,$D$29),0)),$D$13*($D$23+$D$25)*1000000*D87,0)</x:f>
        <x:v>0</x:v>
      </x:c>
      <x:c r="G87" s="3" t="n">
        <x:f>IF(C87&gt;MAX($D$27,$D$29),(($D$13*(1-$D$14)/(1+$D$26))*$D$15*$D$16)*8760/12*($D$17*$D$18/1000+$D$20)*D87,0)</x:f>
        <x:v>1726621.755896737</x:v>
      </x:c>
      <x:c r="H87" s="1" t="n">
        <x:f>IF(C87&gt;MAX($D$28,$D$29),(($D$13*(1-$D$14)/(1+$D$26))*$D$15*$D$16)*8760/12*($D$17*$D$19/1000+$D$21)*D87,0)</x:f>
        <x:v>1350616.6642856863</x:v>
      </x:c>
      <x:c r="I87" s="1" t="n">
        <x:f>IF(C87&gt;MAX($D$27,$D$29),(($D$13*(1-$D$14)/(1+$D$26))*$D$15*$D$16)*D87,0)</x:f>
        <x:v>45.48529388558317</x:v>
      </x:c>
      <x:c r="J87" s="1" t="n">
        <x:f>IF(C87&gt;MAX($D$28,$D$29),(($D$13*(1-$D$14)/(1+$D$26))*$D$15*$D$16)*D87,0)</x:f>
        <x:v>45.48529388558317</x:v>
      </x:c>
      <x:c r="K87" s="1" t="n">
        <x:f>IF(C87&gt;MAX($D$33,$D$29),(($D$13*(1-$D$14)/(1+$D$26))*$D$15*$D$16)*8760/12*$D$34*D87,0)</x:f>
        <x:v>2656341.1629180573</x:v>
      </x:c>
      <x:c r="L87" s="1" t="n">
        <x:f>IF(C87&gt;MAX($D$33,$D$29),(($D$13*(1-$D$14)/(1+$D$26))*$D$15*$D$16)*D87,0)</x:f>
        <x:v>45.48529388558317</x:v>
      </x:c>
    </x:row>
    <x:row r="88" ht="22" customHeight="1">
      <x:c r="C88" s="1" t="n">
        <x:v>48</x:v>
      </x:c>
      <x:c r="D88" s="3" t="n">
        <x:f>IF(C88&lt;=$D$30*12,(1+$D$31)^(-C88/12),0)</x:f>
        <x:v>0.6830134553650705</x:v>
      </x:c>
      <x:c r="E88" s="3" t="n">
        <x:f>IF(C88=MAX(1,ROUNDUP(MAX($D$27,$D$29),0)),$D$13*($D$22+$D$24)*1000000*D88,0)</x:f>
        <x:v>0</x:v>
      </x:c>
      <x:c r="F88" s="3" t="n">
        <x:f>IF(C88=MAX(1,ROUNDUP(MAX($D$28,$D$29),0)),$D$13*($D$23+$D$25)*1000000*D88,0)</x:f>
        <x:v>0</x:v>
      </x:c>
      <x:c r="G88" s="3" t="n">
        <x:f>IF(C88&gt;MAX($D$27,$D$29),(($D$13*(1-$D$14)/(1+$D$26))*$D$15*$D$16)*8760/12*($D$17*$D$18/1000+$D$20)*D88,0)</x:f>
        <x:v>1712962.3535401823</x:v>
      </x:c>
      <x:c r="H88" s="1" t="n">
        <x:f>IF(C88&gt;MAX($D$28,$D$29),(($D$13*(1-$D$14)/(1+$D$26))*$D$15*$D$16)*8760/12*($D$17*$D$19/1000+$D$21)*D88,0)</x:f>
        <x:v>1339931.859473086</x:v>
      </x:c>
      <x:c r="I88" s="1" t="n">
        <x:f>IF(C88&gt;MAX($D$27,$D$29),(($D$13*(1-$D$14)/(1+$D$26))*$D$15*$D$16)*D88,0)</x:f>
        <x:v>45.125457153324085</x:v>
      </x:c>
      <x:c r="J88" s="1" t="n">
        <x:f>IF(C88&gt;MAX($D$28,$D$29),(($D$13*(1-$D$14)/(1+$D$26))*$D$15*$D$16)*D88,0)</x:f>
        <x:v>45.125457153324085</x:v>
      </x:c>
      <x:c r="K88" s="1" t="n">
        <x:f>IF(C88&gt;MAX($D$33,$D$29),(($D$13*(1-$D$14)/(1+$D$26))*$D$15*$D$16)*8760/12*$D$34*D88,0)</x:f>
        <x:v>2635326.697754127</x:v>
      </x:c>
      <x:c r="L88" s="1" t="n">
        <x:f>IF(C88&gt;MAX($D$33,$D$29),(($D$13*(1-$D$14)/(1+$D$26))*$D$15*$D$16)*D88,0)</x:f>
        <x:v>45.125457153324085</x:v>
      </x:c>
    </x:row>
    <x:row r="89" ht="22" customHeight="1">
      <x:c r="C89" s="1" t="n">
        <x:v>49</x:v>
      </x:c>
      <x:c r="D89" s="3" t="n">
        <x:f>IF(C89&lt;=$D$30*12,(1+$D$31)^(-C89/12),0)</x:f>
        <x:v>0.6776100972932113</x:v>
      </x:c>
      <x:c r="E89" s="3" t="n">
        <x:f>IF(C89=MAX(1,ROUNDUP(MAX($D$27,$D$29),0)),$D$13*($D$22+$D$24)*1000000*D89,0)</x:f>
        <x:v>0</x:v>
      </x:c>
      <x:c r="F89" s="3" t="n">
        <x:f>IF(C89=MAX(1,ROUNDUP(MAX($D$28,$D$29),0)),$D$13*($D$23+$D$25)*1000000*D89,0)</x:f>
        <x:v>0</x:v>
      </x:c>
      <x:c r="G89" s="3" t="n">
        <x:f>IF(C89&gt;MAX($D$27,$D$29),(($D$13*(1-$D$14)/(1+$D$26))*$D$15*$D$16)*8760/12*($D$17*$D$18/1000+$D$20)*D89,0)</x:f>
        <x:v>1699411.0114881506</x:v>
      </x:c>
      <x:c r="H89" s="1" t="n">
        <x:f>IF(C89&gt;MAX($D$28,$D$29),(($D$13*(1-$D$14)/(1+$D$26))*$D$15*$D$16)*8760/12*($D$17*$D$19/1000+$D$21)*D89,0)</x:f>
        <x:v>1329331.5827556157</x:v>
      </x:c>
      <x:c r="I89" s="1" t="n">
        <x:f>IF(C89&gt;MAX($D$27,$D$29),(($D$13*(1-$D$14)/(1+$D$26))*$D$15*$D$16)*D89,0)</x:f>
        <x:v>44.76846710980375</x:v>
      </x:c>
      <x:c r="J89" s="1" t="n">
        <x:f>IF(C89&gt;MAX($D$28,$D$29),(($D$13*(1-$D$14)/(1+$D$26))*$D$15*$D$16)*D89,0)</x:f>
        <x:v>44.76846710980375</x:v>
      </x:c>
      <x:c r="K89" s="1" t="n">
        <x:f>IF(C89&gt;MAX($D$33,$D$29),(($D$13*(1-$D$14)/(1+$D$26))*$D$15*$D$16)*8760/12*$D$34*D89,0)</x:f>
        <x:v>2614478.4792125393</x:v>
      </x:c>
      <x:c r="L89" s="1" t="n">
        <x:f>IF(C89&gt;MAX($D$33,$D$29),(($D$13*(1-$D$14)/(1+$D$26))*$D$15*$D$16)*D89,0)</x:f>
        <x:v>44.76846710980375</x:v>
      </x:c>
    </x:row>
    <x:row r="90" ht="22" customHeight="1">
      <x:c r="C90" s="1" t="n">
        <x:v>50</x:v>
      </x:c>
      <x:c r="D90" s="3" t="n">
        <x:f>IF(C90&lt;=$D$30*12,(1+$D$31)^(-C90/12),0)</x:f>
        <x:v>0.6722494854926347</x:v>
      </x:c>
      <x:c r="E90" s="3" t="n">
        <x:f>IF(C90=MAX(1,ROUNDUP(MAX($D$27,$D$29),0)),$D$13*($D$22+$D$24)*1000000*D90,0)</x:f>
        <x:v>0</x:v>
      </x:c>
      <x:c r="F90" s="3" t="n">
        <x:f>IF(C90=MAX(1,ROUNDUP(MAX($D$28,$D$29),0)),$D$13*($D$23+$D$25)*1000000*D90,0)</x:f>
        <x:v>0</x:v>
      </x:c>
      <x:c r="G90" s="3" t="n">
        <x:f>IF(C90&gt;MAX($D$27,$D$29),(($D$13*(1-$D$14)/(1+$D$26))*$D$15*$D$16)*8760/12*($D$17*$D$18/1000+$D$20)*D90,0)</x:f>
        <x:v>1685966.8748694614</x:v>
      </x:c>
      <x:c r="H90" s="1" t="n">
        <x:f>IF(C90&gt;MAX($D$28,$D$29),(($D$13*(1-$D$14)/(1+$D$26))*$D$15*$D$16)*8760/12*($D$17*$D$19/1000+$D$21)*D90,0)</x:f>
        <x:v>1318815.165426735</x:v>
      </x:c>
      <x:c r="I90" s="1" t="n">
        <x:f>IF(C90&gt;MAX($D$27,$D$29),(($D$13*(1-$D$14)/(1+$D$26))*$D$15*$D$16)*D90,0)</x:f>
        <x:v>44.41430123470657</x:v>
      </x:c>
      <x:c r="J90" s="1" t="n">
        <x:f>IF(C90&gt;MAX($D$28,$D$29),(($D$13*(1-$D$14)/(1+$D$26))*$D$15*$D$16)*D90,0)</x:f>
        <x:v>44.41430123470657</x:v>
      </x:c>
      <x:c r="K90" s="1" t="n">
        <x:f>IF(C90&gt;MAX($D$33,$D$29),(($D$13*(1-$D$14)/(1+$D$26))*$D$15*$D$16)*8760/12*$D$34*D90,0)</x:f>
        <x:v>2593795.192106864</x:v>
      </x:c>
      <x:c r="L90" s="1" t="n">
        <x:f>IF(C90&gt;MAX($D$33,$D$29),(($D$13*(1-$D$14)/(1+$D$26))*$D$15*$D$16)*D90,0)</x:f>
        <x:v>44.41430123470657</x:v>
      </x:c>
    </x:row>
    <x:row r="91" ht="22" customHeight="1">
      <x:c r="C91" s="1" t="n">
        <x:v>51</x:v>
      </x:c>
      <x:c r="D91" s="3" t="n">
        <x:f>IF(C91&lt;=$D$30*12,(1+$D$31)^(-C91/12),0)</x:f>
        <x:v>0.6669312817951712</x:v>
      </x:c>
      <x:c r="E91" s="3" t="n">
        <x:f>IF(C91=MAX(1,ROUNDUP(MAX($D$27,$D$29),0)),$D$13*($D$22+$D$24)*1000000*D91,0)</x:f>
        <x:v>0</x:v>
      </x:c>
      <x:c r="F91" s="3" t="n">
        <x:f>IF(C91=MAX(1,ROUNDUP(MAX($D$28,$D$29),0)),$D$13*($D$23+$D$25)*1000000*D91,0)</x:f>
        <x:v>0</x:v>
      </x:c>
      <x:c r="G91" s="3" t="n">
        <x:f>IF(C91&gt;MAX($D$27,$D$29),(($D$13*(1-$D$14)/(1+$D$26))*$D$15*$D$16)*8760/12*($D$17*$D$18/1000+$D$20)*D91,0)</x:f>
        <x:v>1672629.095575869</x:v>
      </x:c>
      <x:c r="H91" s="1" t="n">
        <x:f>IF(C91&gt;MAX($D$28,$D$29),(($D$13*(1-$D$14)/(1+$D$26))*$D$15*$D$16)*8760/12*($D$17*$D$19/1000+$D$21)*D91,0)</x:f>
        <x:v>1308381.944070078</x:v>
      </x:c>
      <x:c r="I91" s="1" t="n">
        <x:f>IF(C91&gt;MAX($D$27,$D$29),(($D$13*(1-$D$14)/(1+$D$26))*$D$15*$D$16)*D91,0)</x:f>
        <x:v>44.06293718587642</x:v>
      </x:c>
      <x:c r="J91" s="1" t="n">
        <x:f>IF(C91&gt;MAX($D$28,$D$29),(($D$13*(1-$D$14)/(1+$D$26))*$D$15*$D$16)*D91,0)</x:f>
        <x:v>44.06293718587642</x:v>
      </x:c>
      <x:c r="K91" s="1" t="n">
        <x:f>IF(C91&gt;MAX($D$33,$D$29),(($D$13*(1-$D$14)/(1+$D$26))*$D$15*$D$16)*8760/12*$D$34*D91,0)</x:f>
        <x:v>2573275.5316551835</x:v>
      </x:c>
      <x:c r="L91" s="1" t="n">
        <x:f>IF(C91&gt;MAX($D$33,$D$29),(($D$13*(1-$D$14)/(1+$D$26))*$D$15*$D$16)*D91,0)</x:f>
        <x:v>44.06293718587642</x:v>
      </x:c>
    </x:row>
    <x:row r="92" ht="22" customHeight="1">
      <x:c r="C92" s="1" t="n">
        <x:v>52</x:v>
      </x:c>
      <x:c r="D92" s="3" t="n">
        <x:f>IF(C92&lt;=$D$30*12,(1+$D$31)^(-C92/12),0)</x:f>
        <x:v>0.6616551507079188</x:v>
      </x:c>
      <x:c r="E92" s="3" t="n">
        <x:f>IF(C92=MAX(1,ROUNDUP(MAX($D$27,$D$29),0)),$D$13*($D$22+$D$24)*1000000*D92,0)</x:f>
        <x:v>0</x:v>
      </x:c>
      <x:c r="F92" s="3" t="n">
        <x:f>IF(C92=MAX(1,ROUNDUP(MAX($D$28,$D$29),0)),$D$13*($D$23+$D$25)*1000000*D92,0)</x:f>
        <x:v>0</x:v>
      </x:c>
      <x:c r="G92" s="3" t="n">
        <x:f>IF(C92&gt;MAX($D$27,$D$29),(($D$13*(1-$D$14)/(1+$D$26))*$D$15*$D$16)*8760/12*($D$17*$D$18/1000+$D$20)*D92,0)</x:f>
        <x:v>1659396.8322085598</x:v>
      </x:c>
      <x:c r="H92" s="1" t="n">
        <x:f>IF(C92&gt;MAX($D$28,$D$29),(($D$13*(1-$D$14)/(1+$D$26))*$D$15*$D$16)*8760/12*($D$17*$D$19/1000+$D$21)*D92,0)</x:f>
        <x:v>1298031.2605176037</x:v>
      </x:c>
      <x:c r="I92" s="1" t="n">
        <x:f>IF(C92&gt;MAX($D$27,$D$29),(($D$13*(1-$D$14)/(1+$D$26))*$D$15*$D$16)*D92,0)</x:f>
        <x:v>43.71435279790727</x:v>
      </x:c>
      <x:c r="J92" s="1" t="n">
        <x:f>IF(C92&gt;MAX($D$28,$D$29),(($D$13*(1-$D$14)/(1+$D$26))*$D$15*$D$16)*D92,0)</x:f>
        <x:v>43.71435279790727</x:v>
      </x:c>
      <x:c r="K92" s="1" t="n">
        <x:f>IF(C92&gt;MAX($D$33,$D$29),(($D$13*(1-$D$14)/(1+$D$26))*$D$15*$D$16)*8760/12*$D$34*D92,0)</x:f>
        <x:v>2552918.203397785</x:v>
      </x:c>
      <x:c r="L92" s="1" t="n">
        <x:f>IF(C92&gt;MAX($D$33,$D$29),(($D$13*(1-$D$14)/(1+$D$26))*$D$15*$D$16)*D92,0)</x:f>
        <x:v>43.71435279790727</x:v>
      </x:c>
    </x:row>
    <x:row r="93" ht="22" customHeight="1">
      <x:c r="C93" s="1" t="n">
        <x:v>53</x:v>
      </x:c>
      <x:c r="D93" s="3" t="n">
        <x:f>IF(C93&lt;=$D$30*12,(1+$D$31)^(-C93/12),0)</x:f>
        <x:v>0.6564207593920788</x:v>
      </x:c>
      <x:c r="E93" s="3" t="n">
        <x:f>IF(C93=MAX(1,ROUNDUP(MAX($D$27,$D$29),0)),$D$13*($D$22+$D$24)*1000000*D93,0)</x:f>
        <x:v>0</x:v>
      </x:c>
      <x:c r="F93" s="3" t="n">
        <x:f>IF(C93=MAX(1,ROUNDUP(MAX($D$28,$D$29),0)),$D$13*($D$23+$D$25)*1000000*D93,0)</x:f>
        <x:v>0</x:v>
      </x:c>
      <x:c r="G93" s="3" t="n">
        <x:f>IF(C93&gt;MAX($D$27,$D$29),(($D$13*(1-$D$14)/(1+$D$26))*$D$15*$D$16)*8760/12*($D$17*$D$18/1000+$D$20)*D93,0)</x:f>
        <x:v>1646269.250025074</x:v>
      </x:c>
      <x:c r="H93" s="1" t="n">
        <x:f>IF(C93&gt;MAX($D$28,$D$29),(($D$13*(1-$D$14)/(1+$D$26))*$D$15*$D$16)*8760/12*($D$17*$D$19/1000+$D$21)*D93,0)</x:f>
        <x:v>1287762.4618080754</x:v>
      </x:c>
      <x:c r="I93" s="1" t="n">
        <x:f>IF(C93&gt;MAX($D$27,$D$29),(($D$13*(1-$D$14)/(1+$D$26))*$D$15*$D$16)*D93,0)</x:f>
        <x:v>43.368526080744836</x:v>
      </x:c>
      <x:c r="J93" s="1" t="n">
        <x:f>IF(C93&gt;MAX($D$28,$D$29),(($D$13*(1-$D$14)/(1+$D$26))*$D$15*$D$16)*D93,0)</x:f>
        <x:v>43.368526080744836</x:v>
      </x:c>
      <x:c r="K93" s="1" t="n">
        <x:f>IF(C93&gt;MAX($D$33,$D$29),(($D$13*(1-$D$14)/(1+$D$26))*$D$15*$D$16)*8760/12*$D$34*D93,0)</x:f>
        <x:v>2532721.923115499</x:v>
      </x:c>
      <x:c r="L93" s="1" t="n">
        <x:f>IF(C93&gt;MAX($D$33,$D$29),(($D$13*(1-$D$14)/(1+$D$26))*$D$15*$D$16)*D93,0)</x:f>
        <x:v>43.368526080744836</x:v>
      </x:c>
    </x:row>
    <x:row r="94" ht="22" customHeight="1">
      <x:c r="C94" s="1" t="n">
        <x:v>54</x:v>
      </x:c>
      <x:c r="D94" s="3" t="n">
        <x:f>IF(C94&lt;=$D$30*12,(1+$D$31)^(-C94/12),0)</x:f>
        <x:v>0.6512277776419588</x:v>
      </x:c>
      <x:c r="E94" s="3" t="n">
        <x:f>IF(C94=MAX(1,ROUNDUP(MAX($D$27,$D$29),0)),$D$13*($D$22+$D$24)*1000000*D94,0)</x:f>
        <x:v>0</x:v>
      </x:c>
      <x:c r="F94" s="3" t="n">
        <x:f>IF(C94=MAX(1,ROUNDUP(MAX($D$28,$D$29),0)),$D$13*($D$23+$D$25)*1000000*D94,0)</x:f>
        <x:v>0</x:v>
      </x:c>
      <x:c r="G94" s="3" t="n">
        <x:f>IF(C94&gt;MAX($D$27,$D$29),(($D$13*(1-$D$14)/(1+$D$26))*$D$15*$D$16)*8760/12*($D$17*$D$18/1000+$D$20)*D94,0)</x:f>
        <x:v>1633245.5208866457</x:v>
      </x:c>
      <x:c r="H94" s="1" t="n">
        <x:f>IF(C94&gt;MAX($D$28,$D$29),(($D$13*(1-$D$14)/(1+$D$26))*$D$15*$D$16)*8760/12*($D$17*$D$19/1000+$D$21)*D94,0)</x:f>
        <x:v>1277574.9001458695</x:v>
      </x:c>
      <x:c r="I94" s="1" t="n">
        <x:f>IF(C94&gt;MAX($D$27,$D$29),(($D$13*(1-$D$14)/(1+$D$26))*$D$15*$D$16)*D94,0)</x:f>
        <x:v>43.025435218299414</x:v>
      </x:c>
      <x:c r="J94" s="1" t="n">
        <x:f>IF(C94&gt;MAX($D$28,$D$29),(($D$13*(1-$D$14)/(1+$D$26))*$D$15*$D$16)*D94,0)</x:f>
        <x:v>43.025435218299414</x:v>
      </x:c>
      <x:c r="K94" s="1" t="n">
        <x:f>IF(C94&gt;MAX($D$33,$D$29),(($D$13*(1-$D$14)/(1+$D$26))*$D$15*$D$16)*8760/12*$D$34*D94,0)</x:f>
        <x:v>2512685.416748686</x:v>
      </x:c>
      <x:c r="L94" s="1" t="n">
        <x:f>IF(C94&gt;MAX($D$33,$D$29),(($D$13*(1-$D$14)/(1+$D$26))*$D$15*$D$16)*D94,0)</x:f>
        <x:v>43.025435218299414</x:v>
      </x:c>
    </x:row>
    <x:row r="95" ht="22" customHeight="1">
      <x:c r="C95" s="1" t="n">
        <x:v>55</x:v>
      </x:c>
      <x:c r="D95" s="3" t="n">
        <x:f>IF(C95&lt;=$D$30*12,(1+$D$31)^(-C95/12),0)</x:f>
        <x:v>0.6460758778641429</x:v>
      </x:c>
      <x:c r="E95" s="3" t="n">
        <x:f>IF(C95=MAX(1,ROUNDUP(MAX($D$27,$D$29),0)),$D$13*($D$22+$D$24)*1000000*D95,0)</x:f>
        <x:v>0</x:v>
      </x:c>
      <x:c r="F95" s="3" t="n">
        <x:f>IF(C95=MAX(1,ROUNDUP(MAX($D$28,$D$29),0)),$D$13*($D$23+$D$25)*1000000*D95,0)</x:f>
        <x:v>0</x:v>
      </x:c>
      <x:c r="G95" s="3" t="n">
        <x:f>IF(C95&gt;MAX($D$27,$D$29),(($D$13*(1-$D$14)/(1+$D$26))*$D$15*$D$16)*8760/12*($D$17*$D$18/1000+$D$20)*D95,0)</x:f>
        <x:v>1620324.8232059628</x:v>
      </x:c>
      <x:c r="H95" s="1" t="n">
        <x:f>IF(C95&gt;MAX($D$28,$D$29),(($D$13*(1-$D$14)/(1+$D$26))*$D$15*$D$16)*8760/12*($D$17*$D$19/1000+$D$21)*D95,0)</x:f>
        <x:v>1267467.9328601107</x:v>
      </x:c>
      <x:c r="I95" s="1" t="n">
        <x:f>IF(C95&gt;MAX($D$27,$D$29),(($D$13*(1-$D$14)/(1+$D$26))*$D$15*$D$16)*D95,0)</x:f>
        <x:v>42.68505856706962</x:v>
      </x:c>
      <x:c r="J95" s="1" t="n">
        <x:f>IF(C95&gt;MAX($D$28,$D$29),(($D$13*(1-$D$14)/(1+$D$26))*$D$15*$D$16)*D95,0)</x:f>
        <x:v>42.68505856706962</x:v>
      </x:c>
      <x:c r="K95" s="1" t="n">
        <x:f>IF(C95&gt;MAX($D$33,$D$29),(($D$13*(1-$D$14)/(1+$D$26))*$D$15*$D$16)*8760/12*$D$34*D95,0)</x:f>
        <x:v>2492807.420316866</x:v>
      </x:c>
      <x:c r="L95" s="1" t="n">
        <x:f>IF(C95&gt;MAX($D$33,$D$29),(($D$13*(1-$D$14)/(1+$D$26))*$D$15*$D$16)*D95,0)</x:f>
        <x:v>42.68505856706962</x:v>
      </x:c>
    </x:row>
    <x:row r="96" ht="22" customHeight="1">
      <x:c r="C96" s="1" t="n">
        <x:v>56</x:v>
      </x:c>
      <x:c r="D96" s="3" t="n">
        <x:f>IF(C96&lt;=$D$30*12,(1+$D$31)^(-C96/12),0)</x:f>
        <x:v>0.6409647350568247</x:v>
      </x:c>
      <x:c r="E96" s="3" t="n">
        <x:f>IF(C96=MAX(1,ROUNDUP(MAX($D$27,$D$29),0)),$D$13*($D$22+$D$24)*1000000*D96,0)</x:f>
        <x:v>0</x:v>
      </x:c>
      <x:c r="F96" s="3" t="n">
        <x:f>IF(C96=MAX(1,ROUNDUP(MAX($D$28,$D$29),0)),$D$13*($D$23+$D$25)*1000000*D96,0)</x:f>
        <x:v>0</x:v>
      </x:c>
      <x:c r="G96" s="3" t="n">
        <x:f>IF(C96&gt;MAX($D$27,$D$29),(($D$13*(1-$D$14)/(1+$D$26))*$D$15*$D$16)*8760/12*($D$17*$D$18/1000+$D$20)*D96,0)</x:f>
        <x:v>1607506.341895336</x:v>
      </x:c>
      <x:c r="H96" s="1" t="n">
        <x:f>IF(C96&gt;MAX($D$28,$D$29),(($D$13*(1-$D$14)/(1+$D$26))*$D$15*$D$16)*8760/12*($D$17*$D$19/1000+$D$21)*D96,0)</x:f>
        <x:v>1257440.9223641288</x:v>
      </x:c>
      <x:c r="I96" s="1" t="n">
        <x:f>IF(C96&gt;MAX($D$27,$D$29),(($D$13*(1-$D$14)/(1+$D$26))*$D$15*$D$16)*D96,0)</x:f>
        <x:v>42.34737465477703</x:v>
      </x:c>
      <x:c r="J96" s="1" t="n">
        <x:f>IF(C96&gt;MAX($D$28,$D$29),(($D$13*(1-$D$14)/(1+$D$26))*$D$15*$D$16)*D96,0)</x:f>
        <x:v>42.34737465477703</x:v>
      </x:c>
      <x:c r="K96" s="1" t="n">
        <x:f>IF(C96&gt;MAX($D$33,$D$29),(($D$13*(1-$D$14)/(1+$D$26))*$D$15*$D$16)*8760/12*$D$34*D96,0)</x:f>
        <x:v>2473086.6798389787</x:v>
      </x:c>
      <x:c r="L96" s="1" t="n">
        <x:f>IF(C96&gt;MAX($D$33,$D$29),(($D$13*(1-$D$14)/(1+$D$26))*$D$15*$D$16)*D96,0)</x:f>
        <x:v>42.34737465477703</x:v>
      </x:c>
    </x:row>
    <x:row r="97" ht="22" customHeight="1">
      <x:c r="C97" s="1" t="n">
        <x:v>57</x:v>
      </x:c>
      <x:c r="D97" s="3" t="n">
        <x:f>IF(C97&lt;=$D$30*12,(1+$D$31)^(-C97/12),0)</x:f>
        <x:v>0.6358940267893057</x:v>
      </x:c>
      <x:c r="E97" s="3" t="n">
        <x:f>IF(C97=MAX(1,ROUNDUP(MAX($D$27,$D$29),0)),$D$13*($D$22+$D$24)*1000000*D97,0)</x:f>
        <x:v>0</x:v>
      </x:c>
      <x:c r="F97" s="3" t="n">
        <x:f>IF(C97=MAX(1,ROUNDUP(MAX($D$28,$D$29),0)),$D$13*($D$23+$D$25)*1000000*D97,0)</x:f>
        <x:v>0</x:v>
      </x:c>
      <x:c r="G97" s="3" t="n">
        <x:f>IF(C97&gt;MAX($D$27,$D$29),(($D$13*(1-$D$14)/(1+$D$26))*$D$15*$D$16)*8760/12*($D$17*$D$18/1000+$D$20)*D97,0)</x:f>
        <x:v>1594789.2683152815</x:v>
      </x:c>
      <x:c r="H97" s="1" t="n">
        <x:f>IF(C97&gt;MAX($D$28,$D$29),(($D$13*(1-$D$14)/(1+$D$26))*$D$15*$D$16)*8760/12*($D$17*$D$19/1000+$D$21)*D97,0)</x:f>
        <x:v>1247493.2361152384</x:v>
      </x:c>
      <x:c r="I97" s="1" t="n">
        <x:f>IF(C97&gt;MAX($D$27,$D$29),(($D$13*(1-$D$14)/(1+$D$26))*$D$15*$D$16)*D97,0)</x:f>
        <x:v>42.012362179011625</x:v>
      </x:c>
      <x:c r="J97" s="1" t="n">
        <x:f>IF(C97&gt;MAX($D$28,$D$29),(($D$13*(1-$D$14)/(1+$D$26))*$D$15*$D$16)*D97,0)</x:f>
        <x:v>42.012362179011625</x:v>
      </x:c>
      <x:c r="K97" s="1" t="n">
        <x:f>IF(C97&gt;MAX($D$33,$D$29),(($D$13*(1-$D$14)/(1+$D$26))*$D$15*$D$16)*8760/12*$D$34*D97,0)</x:f>
        <x:v>2453521.9512542794</x:v>
      </x:c>
      <x:c r="L97" s="1" t="n">
        <x:f>IF(C97&gt;MAX($D$33,$D$29),(($D$13*(1-$D$14)/(1+$D$26))*$D$15*$D$16)*D97,0)</x:f>
        <x:v>42.012362179011625</x:v>
      </x:c>
    </x:row>
    <x:row r="98" ht="22" customHeight="1">
      <x:c r="C98" s="1" t="n">
        <x:v>58</x:v>
      </x:c>
      <x:c r="D98" s="3" t="n">
        <x:f>IF(C98&lt;=$D$30*12,(1+$D$31)^(-C98/12),0)</x:f>
        <x:v>0.6308634331816548</x:v>
      </x:c>
      <x:c r="E98" s="3" t="n">
        <x:f>IF(C98=MAX(1,ROUNDUP(MAX($D$27,$D$29),0)),$D$13*($D$22+$D$24)*1000000*D98,0)</x:f>
        <x:v>0</x:v>
      </x:c>
      <x:c r="F98" s="3" t="n">
        <x:f>IF(C98=MAX(1,ROUNDUP(MAX($D$28,$D$29),0)),$D$13*($D$23+$D$25)*1000000*D98,0)</x:f>
        <x:v>0</x:v>
      </x:c>
      <x:c r="G98" s="3" t="n">
        <x:f>IF(C98&gt;MAX($D$27,$D$29),(($D$13*(1-$D$14)/(1+$D$26))*$D$15*$D$16)*8760/12*($D$17*$D$18/1000+$D$20)*D98,0)</x:f>
        <x:v>1582172.8002235072</x:v>
      </x:c>
      <x:c r="H98" s="1" t="n">
        <x:f>IF(C98&gt;MAX($D$28,$D$29),(($D$13*(1-$D$14)/(1+$D$26))*$D$15*$D$16)*8760/12*($D$17*$D$19/1000+$D$21)*D98,0)</x:f>
        <x:v>1237624.2465748345</x:v>
      </x:c>
      <x:c r="I98" s="1" t="n">
        <x:f>IF(C98&gt;MAX($D$27,$D$29),(($D$13*(1-$D$14)/(1+$D$26))*$D$15*$D$16)*D98,0)</x:f>
        <x:v>41.68000000588796</x:v>
      </x:c>
      <x:c r="J98" s="1" t="n">
        <x:f>IF(C98&gt;MAX($D$28,$D$29),(($D$13*(1-$D$14)/(1+$D$26))*$D$15*$D$16)*D98,0)</x:f>
        <x:v>41.68000000588796</x:v>
      </x:c>
      <x:c r="K98" s="1" t="n">
        <x:f>IF(C98&gt;MAX($D$33,$D$29),(($D$13*(1-$D$14)/(1+$D$26))*$D$15*$D$16)*8760/12*$D$34*D98,0)</x:f>
        <x:v>2434112.0003438573</x:v>
      </x:c>
      <x:c r="L98" s="1" t="n">
        <x:f>IF(C98&gt;MAX($D$33,$D$29),(($D$13*(1-$D$14)/(1+$D$26))*$D$15*$D$16)*D98,0)</x:f>
        <x:v>41.68000000588796</x:v>
      </x:c>
    </x:row>
    <x:row r="99" ht="22" customHeight="1">
      <x:c r="C99" s="1" t="n">
        <x:v>59</x:v>
      </x:c>
      <x:c r="D99" s="3" t="n">
        <x:f>IF(C99&lt;=$D$30*12,(1+$D$31)^(-C99/12),0)</x:f>
        <x:v>0.6258726368845293</x:v>
      </x:c>
      <x:c r="E99" s="3" t="n">
        <x:f>IF(C99=MAX(1,ROUNDUP(MAX($D$27,$D$29),0)),$D$13*($D$22+$D$24)*1000000*D99,0)</x:f>
        <x:v>0</x:v>
      </x:c>
      <x:c r="F99" s="3" t="n">
        <x:f>IF(C99=MAX(1,ROUNDUP(MAX($D$28,$D$29),0)),$D$13*($D$23+$D$25)*1000000*D99,0)</x:f>
        <x:v>0</x:v>
      </x:c>
      <x:c r="G99" s="3" t="n">
        <x:f>IF(C99&gt;MAX($D$27,$D$29),(($D$13*(1-$D$14)/(1+$D$26))*$D$15*$D$16)*8760/12*($D$17*$D$18/1000+$D$20)*D99,0)</x:f>
        <x:v>1569656.1417243064</x:v>
      </x:c>
      <x:c r="H99" s="1" t="n">
        <x:f>IF(C99&gt;MAX($D$28,$D$29),(($D$13*(1-$D$14)/(1+$D$26))*$D$15*$D$16)*8760/12*($D$17*$D$19/1000+$D$21)*D99,0)</x:f>
        <x:v>1227833.3311688057</x:v>
      </x:c>
      <x:c r="I99" s="1" t="n">
        <x:f>IF(C99&gt;MAX($D$27,$D$29),(($D$13*(1-$D$14)/(1+$D$26))*$D$15*$D$16)*D99,0)</x:f>
        <x:v>41.350267168711966</x:v>
      </x:c>
      <x:c r="J99" s="1" t="n">
        <x:f>IF(C99&gt;MAX($D$28,$D$29),(($D$13*(1-$D$14)/(1+$D$26))*$D$15*$D$16)*D99,0)</x:f>
        <x:v>41.350267168711966</x:v>
      </x:c>
      <x:c r="K99" s="1" t="n">
        <x:f>IF(C99&gt;MAX($D$33,$D$29),(($D$13*(1-$D$14)/(1+$D$26))*$D$15*$D$16)*8760/12*$D$34*D99,0)</x:f>
        <x:v>2414855.6026527793</x:v>
      </x:c>
      <x:c r="L99" s="1" t="n">
        <x:f>IF(C99&gt;MAX($D$33,$D$29),(($D$13*(1-$D$14)/(1+$D$26))*$D$15*$D$16)*D99,0)</x:f>
        <x:v>41.350267168711966</x:v>
      </x:c>
    </x:row>
    <x:row r="100" ht="22" customHeight="1">
      <x:c r="C100" s="1" t="n">
        <x:v>60</x:v>
      </x:c>
      <x:c r="D100" s="3" t="n">
        <x:f>IF(C100&lt;=$D$30*12,(1+$D$31)^(-C100/12),0)</x:f>
        <x:v>0.6209213230591549</x:v>
      </x:c>
      <x:c r="E100" s="3" t="n">
        <x:f>IF(C100=MAX(1,ROUNDUP(MAX($D$27,$D$29),0)),$D$13*($D$22+$D$24)*1000000*D100,0)</x:f>
        <x:v>0</x:v>
      </x:c>
      <x:c r="F100" s="3" t="n">
        <x:f>IF(C100=MAX(1,ROUNDUP(MAX($D$28,$D$29),0)),$D$13*($D$23+$D$25)*1000000*D100,0)</x:f>
        <x:v>0</x:v>
      </x:c>
      <x:c r="G100" s="3" t="n">
        <x:f>IF(C100&gt;MAX($D$27,$D$29),(($D$13*(1-$D$14)/(1+$D$26))*$D$15*$D$16)*8760/12*($D$17*$D$18/1000+$D$20)*D100,0)</x:f>
        <x:v>1557238.5032183474</x:v>
      </x:c>
      <x:c r="H100" s="1" t="n">
        <x:f>IF(C100&gt;MAX($D$28,$D$29),(($D$13*(1-$D$14)/(1+$D$26))*$D$15*$D$16)*8760/12*($D$17*$D$19/1000+$D$21)*D100,0)</x:f>
        <x:v>1218119.8722482598</x:v>
      </x:c>
      <x:c r="I100" s="1" t="n">
        <x:f>IF(C100&gt;MAX($D$27,$D$29),(($D$13*(1-$D$14)/(1+$D$26))*$D$15*$D$16)*D100,0)</x:f>
        <x:v>41.023142866658254</x:v>
      </x:c>
      <x:c r="J100" s="1" t="n">
        <x:f>IF(C100&gt;MAX($D$28,$D$29),(($D$13*(1-$D$14)/(1+$D$26))*$D$15*$D$16)*D100,0)</x:f>
        <x:v>41.023142866658254</x:v>
      </x:c>
      <x:c r="K100" s="1" t="n">
        <x:f>IF(C100&gt;MAX($D$33,$D$29),(($D$13*(1-$D$14)/(1+$D$26))*$D$15*$D$16)*8760/12*$D$34*D100,0)</x:f>
        <x:v>2395751.5434128423</x:v>
      </x:c>
      <x:c r="L100" s="1" t="n">
        <x:f>IF(C100&gt;MAX($D$33,$D$29),(($D$13*(1-$D$14)/(1+$D$26))*$D$15*$D$16)*D100,0)</x:f>
        <x:v>41.023142866658254</x:v>
      </x:c>
    </x:row>
    <x:row r="101" ht="22" customHeight="1">
      <x:c r="C101" s="1" t="n">
        <x:v>61</x:v>
      </x:c>
      <x:c r="D101" s="3" t="n">
        <x:f>IF(C101&lt;=$D$30*12,(1+$D$31)^(-C101/12),0)</x:f>
        <x:v>0</x:v>
      </x:c>
      <x:c r="E101" s="3" t="n">
        <x:f>IF(C101=MAX(1,ROUNDUP(MAX($D$27,$D$29),0)),$D$13*($D$22+$D$24)*1000000*D101,0)</x:f>
        <x:v>0</x:v>
      </x:c>
      <x:c r="F101" s="3" t="n">
        <x:f>IF(C101=MAX(1,ROUNDUP(MAX($D$28,$D$29),0)),$D$13*($D$23+$D$25)*1000000*D101,0)</x:f>
        <x:v>0</x:v>
      </x:c>
      <x:c r="G101" s="3" t="n">
        <x:f>IF(C101&gt;MAX($D$27,$D$29),(($D$13*(1-$D$14)/(1+$D$26))*$D$15*$D$16)*8760/12*($D$17*$D$18/1000+$D$20)*D101,0)</x:f>
        <x:v>0</x:v>
      </x:c>
      <x:c r="H101" s="1" t="n">
        <x:f>IF(C101&gt;MAX($D$28,$D$29),(($D$13*(1-$D$14)/(1+$D$26))*$D$15*$D$16)*8760/12*($D$17*$D$19/1000+$D$21)*D101,0)</x:f>
        <x:v>0</x:v>
      </x:c>
      <x:c r="I101" s="1" t="n">
        <x:f>IF(C101&gt;MAX($D$27,$D$29),(($D$13*(1-$D$14)/(1+$D$26))*$D$15*$D$16)*D101,0)</x:f>
        <x:v>0</x:v>
      </x:c>
      <x:c r="J101" s="1" t="n">
        <x:f>IF(C101&gt;MAX($D$28,$D$29),(($D$13*(1-$D$14)/(1+$D$26))*$D$15*$D$16)*D101,0)</x:f>
        <x:v>0</x:v>
      </x:c>
      <x:c r="K101" s="1" t="n">
        <x:f>IF(C101&gt;MAX($D$33,$D$29),(($D$13*(1-$D$14)/(1+$D$26))*$D$15*$D$16)*8760/12*$D$34*D101,0)</x:f>
        <x:v>0</x:v>
      </x:c>
      <x:c r="L101" s="1" t="n">
        <x:f>IF(C101&gt;MAX($D$33,$D$29),(($D$13*(1-$D$14)/(1+$D$26))*$D$15*$D$16)*D101,0)</x:f>
        <x:v>0</x:v>
      </x:c>
    </x:row>
    <x:row r="102" ht="22" customHeight="1">
      <x:c r="C102" s="1" t="n">
        <x:v>62</x:v>
      </x:c>
      <x:c r="D102" s="3" t="n">
        <x:f>IF(C102&lt;=$D$30*12,(1+$D$31)^(-C102/12),0)</x:f>
        <x:v>0</x:v>
      </x:c>
      <x:c r="E102" s="3" t="n">
        <x:f>IF(C102=MAX(1,ROUNDUP(MAX($D$27,$D$29),0)),$D$13*($D$22+$D$24)*1000000*D102,0)</x:f>
        <x:v>0</x:v>
      </x:c>
      <x:c r="F102" s="3" t="n">
        <x:f>IF(C102=MAX(1,ROUNDUP(MAX($D$28,$D$29),0)),$D$13*($D$23+$D$25)*1000000*D102,0)</x:f>
        <x:v>0</x:v>
      </x:c>
      <x:c r="G102" s="3" t="n">
        <x:f>IF(C102&gt;MAX($D$27,$D$29),(($D$13*(1-$D$14)/(1+$D$26))*$D$15*$D$16)*8760/12*($D$17*$D$18/1000+$D$20)*D102,0)</x:f>
        <x:v>0</x:v>
      </x:c>
      <x:c r="H102" s="1" t="n">
        <x:f>IF(C102&gt;MAX($D$28,$D$29),(($D$13*(1-$D$14)/(1+$D$26))*$D$15*$D$16)*8760/12*($D$17*$D$19/1000+$D$21)*D102,0)</x:f>
        <x:v>0</x:v>
      </x:c>
      <x:c r="I102" s="1" t="n">
        <x:f>IF(C102&gt;MAX($D$27,$D$29),(($D$13*(1-$D$14)/(1+$D$26))*$D$15*$D$16)*D102,0)</x:f>
        <x:v>0</x:v>
      </x:c>
      <x:c r="J102" s="1" t="n">
        <x:f>IF(C102&gt;MAX($D$28,$D$29),(($D$13*(1-$D$14)/(1+$D$26))*$D$15*$D$16)*D102,0)</x:f>
        <x:v>0</x:v>
      </x:c>
      <x:c r="K102" s="1" t="n">
        <x:f>IF(C102&gt;MAX($D$33,$D$29),(($D$13*(1-$D$14)/(1+$D$26))*$D$15*$D$16)*8760/12*$D$34*D102,0)</x:f>
        <x:v>0</x:v>
      </x:c>
      <x:c r="L102" s="1" t="n">
        <x:f>IF(C102&gt;MAX($D$33,$D$29),(($D$13*(1-$D$14)/(1+$D$26))*$D$15*$D$16)*D102,0)</x:f>
        <x:v>0</x:v>
      </x:c>
    </x:row>
    <x:row r="103" ht="22" customHeight="1">
      <x:c r="C103" s="1" t="n">
        <x:v>63</x:v>
      </x:c>
      <x:c r="D103" s="3" t="n">
        <x:f>IF(C103&lt;=$D$30*12,(1+$D$31)^(-C103/12),0)</x:f>
        <x:v>0</x:v>
      </x:c>
      <x:c r="E103" s="3" t="n">
        <x:f>IF(C103=MAX(1,ROUNDUP(MAX($D$27,$D$29),0)),$D$13*($D$22+$D$24)*1000000*D103,0)</x:f>
        <x:v>0</x:v>
      </x:c>
      <x:c r="F103" s="3" t="n">
        <x:f>IF(C103=MAX(1,ROUNDUP(MAX($D$28,$D$29),0)),$D$13*($D$23+$D$25)*1000000*D103,0)</x:f>
        <x:v>0</x:v>
      </x:c>
      <x:c r="G103" s="3" t="n">
        <x:f>IF(C103&gt;MAX($D$27,$D$29),(($D$13*(1-$D$14)/(1+$D$26))*$D$15*$D$16)*8760/12*($D$17*$D$18/1000+$D$20)*D103,0)</x:f>
        <x:v>0</x:v>
      </x:c>
      <x:c r="H103" s="1" t="n">
        <x:f>IF(C103&gt;MAX($D$28,$D$29),(($D$13*(1-$D$14)/(1+$D$26))*$D$15*$D$16)*8760/12*($D$17*$D$19/1000+$D$21)*D103,0)</x:f>
        <x:v>0</x:v>
      </x:c>
      <x:c r="I103" s="1" t="n">
        <x:f>IF(C103&gt;MAX($D$27,$D$29),(($D$13*(1-$D$14)/(1+$D$26))*$D$15*$D$16)*D103,0)</x:f>
        <x:v>0</x:v>
      </x:c>
      <x:c r="J103" s="1" t="n">
        <x:f>IF(C103&gt;MAX($D$28,$D$29),(($D$13*(1-$D$14)/(1+$D$26))*$D$15*$D$16)*D103,0)</x:f>
        <x:v>0</x:v>
      </x:c>
      <x:c r="K103" s="1" t="n">
        <x:f>IF(C103&gt;MAX($D$33,$D$29),(($D$13*(1-$D$14)/(1+$D$26))*$D$15*$D$16)*8760/12*$D$34*D103,0)</x:f>
        <x:v>0</x:v>
      </x:c>
      <x:c r="L103" s="1" t="n">
        <x:f>IF(C103&gt;MAX($D$33,$D$29),(($D$13*(1-$D$14)/(1+$D$26))*$D$15*$D$16)*D103,0)</x:f>
        <x:v>0</x:v>
      </x:c>
    </x:row>
    <x:row r="104" ht="22" customHeight="1">
      <x:c r="C104" s="1" t="n">
        <x:v>64</x:v>
      </x:c>
      <x:c r="D104" s="3" t="n">
        <x:f>IF(C104&lt;=$D$30*12,(1+$D$31)^(-C104/12),0)</x:f>
        <x:v>0</x:v>
      </x:c>
      <x:c r="E104" s="3" t="n">
        <x:f>IF(C104=MAX(1,ROUNDUP(MAX($D$27,$D$29),0)),$D$13*($D$22+$D$24)*1000000*D104,0)</x:f>
        <x:v>0</x:v>
      </x:c>
      <x:c r="F104" s="3" t="n">
        <x:f>IF(C104=MAX(1,ROUNDUP(MAX($D$28,$D$29),0)),$D$13*($D$23+$D$25)*1000000*D104,0)</x:f>
        <x:v>0</x:v>
      </x:c>
      <x:c r="G104" s="3" t="n">
        <x:f>IF(C104&gt;MAX($D$27,$D$29),(($D$13*(1-$D$14)/(1+$D$26))*$D$15*$D$16)*8760/12*($D$17*$D$18/1000+$D$20)*D104,0)</x:f>
        <x:v>0</x:v>
      </x:c>
      <x:c r="H104" s="1" t="n">
        <x:f>IF(C104&gt;MAX($D$28,$D$29),(($D$13*(1-$D$14)/(1+$D$26))*$D$15*$D$16)*8760/12*($D$17*$D$19/1000+$D$21)*D104,0)</x:f>
        <x:v>0</x:v>
      </x:c>
      <x:c r="I104" s="1" t="n">
        <x:f>IF(C104&gt;MAX($D$27,$D$29),(($D$13*(1-$D$14)/(1+$D$26))*$D$15*$D$16)*D104,0)</x:f>
        <x:v>0</x:v>
      </x:c>
      <x:c r="J104" s="1" t="n">
        <x:f>IF(C104&gt;MAX($D$28,$D$29),(($D$13*(1-$D$14)/(1+$D$26))*$D$15*$D$16)*D104,0)</x:f>
        <x:v>0</x:v>
      </x:c>
      <x:c r="K104" s="1" t="n">
        <x:f>IF(C104&gt;MAX($D$33,$D$29),(($D$13*(1-$D$14)/(1+$D$26))*$D$15*$D$16)*8760/12*$D$34*D104,0)</x:f>
        <x:v>0</x:v>
      </x:c>
      <x:c r="L104" s="1" t="n">
        <x:f>IF(C104&gt;MAX($D$33,$D$29),(($D$13*(1-$D$14)/(1+$D$26))*$D$15*$D$16)*D104,0)</x:f>
        <x:v>0</x:v>
      </x:c>
    </x:row>
    <x:row r="105" ht="22" customHeight="1">
      <x:c r="C105" s="1" t="n">
        <x:v>65</x:v>
      </x:c>
      <x:c r="D105" s="3" t="n">
        <x:f>IF(C105&lt;=$D$30*12,(1+$D$31)^(-C105/12),0)</x:f>
        <x:v>0</x:v>
      </x:c>
      <x:c r="E105" s="3" t="n">
        <x:f>IF(C105=MAX(1,ROUNDUP(MAX($D$27,$D$29),0)),$D$13*($D$22+$D$24)*1000000*D105,0)</x:f>
        <x:v>0</x:v>
      </x:c>
      <x:c r="F105" s="3" t="n">
        <x:f>IF(C105=MAX(1,ROUNDUP(MAX($D$28,$D$29),0)),$D$13*($D$23+$D$25)*1000000*D105,0)</x:f>
        <x:v>0</x:v>
      </x:c>
      <x:c r="G105" s="3" t="n">
        <x:f>IF(C105&gt;MAX($D$27,$D$29),(($D$13*(1-$D$14)/(1+$D$26))*$D$15*$D$16)*8760/12*($D$17*$D$18/1000+$D$20)*D105,0)</x:f>
        <x:v>0</x:v>
      </x:c>
      <x:c r="H105" s="1" t="n">
        <x:f>IF(C105&gt;MAX($D$28,$D$29),(($D$13*(1-$D$14)/(1+$D$26))*$D$15*$D$16)*8760/12*($D$17*$D$19/1000+$D$21)*D105,0)</x:f>
        <x:v>0</x:v>
      </x:c>
      <x:c r="I105" s="1" t="n">
        <x:f>IF(C105&gt;MAX($D$27,$D$29),(($D$13*(1-$D$14)/(1+$D$26))*$D$15*$D$16)*D105,0)</x:f>
        <x:v>0</x:v>
      </x:c>
      <x:c r="J105" s="1" t="n">
        <x:f>IF(C105&gt;MAX($D$28,$D$29),(($D$13*(1-$D$14)/(1+$D$26))*$D$15*$D$16)*D105,0)</x:f>
        <x:v>0</x:v>
      </x:c>
      <x:c r="K105" s="1" t="n">
        <x:f>IF(C105&gt;MAX($D$33,$D$29),(($D$13*(1-$D$14)/(1+$D$26))*$D$15*$D$16)*8760/12*$D$34*D105,0)</x:f>
        <x:v>0</x:v>
      </x:c>
      <x:c r="L105" s="1" t="n">
        <x:f>IF(C105&gt;MAX($D$33,$D$29),(($D$13*(1-$D$14)/(1+$D$26))*$D$15*$D$16)*D105,0)</x:f>
        <x:v>0</x:v>
      </x:c>
    </x:row>
    <x:row r="106" ht="22" customHeight="1">
      <x:c r="C106" s="1" t="n">
        <x:v>66</x:v>
      </x:c>
      <x:c r="D106" s="3" t="n">
        <x:f>IF(C106&lt;=$D$30*12,(1+$D$31)^(-C106/12),0)</x:f>
        <x:v>0</x:v>
      </x:c>
      <x:c r="E106" s="3" t="n">
        <x:f>IF(C106=MAX(1,ROUNDUP(MAX($D$27,$D$29),0)),$D$13*($D$22+$D$24)*1000000*D106,0)</x:f>
        <x:v>0</x:v>
      </x:c>
      <x:c r="F106" s="3" t="n">
        <x:f>IF(C106=MAX(1,ROUNDUP(MAX($D$28,$D$29),0)),$D$13*($D$23+$D$25)*1000000*D106,0)</x:f>
        <x:v>0</x:v>
      </x:c>
      <x:c r="G106" s="3" t="n">
        <x:f>IF(C106&gt;MAX($D$27,$D$29),(($D$13*(1-$D$14)/(1+$D$26))*$D$15*$D$16)*8760/12*($D$17*$D$18/1000+$D$20)*D106,0)</x:f>
        <x:v>0</x:v>
      </x:c>
      <x:c r="H106" s="1" t="n">
        <x:f>IF(C106&gt;MAX($D$28,$D$29),(($D$13*(1-$D$14)/(1+$D$26))*$D$15*$D$16)*8760/12*($D$17*$D$19/1000+$D$21)*D106,0)</x:f>
        <x:v>0</x:v>
      </x:c>
      <x:c r="I106" s="1" t="n">
        <x:f>IF(C106&gt;MAX($D$27,$D$29),(($D$13*(1-$D$14)/(1+$D$26))*$D$15*$D$16)*D106,0)</x:f>
        <x:v>0</x:v>
      </x:c>
      <x:c r="J106" s="1" t="n">
        <x:f>IF(C106&gt;MAX($D$28,$D$29),(($D$13*(1-$D$14)/(1+$D$26))*$D$15*$D$16)*D106,0)</x:f>
        <x:v>0</x:v>
      </x:c>
      <x:c r="K106" s="1" t="n">
        <x:f>IF(C106&gt;MAX($D$33,$D$29),(($D$13*(1-$D$14)/(1+$D$26))*$D$15*$D$16)*8760/12*$D$34*D106,0)</x:f>
        <x:v>0</x:v>
      </x:c>
      <x:c r="L106" s="1" t="n">
        <x:f>IF(C106&gt;MAX($D$33,$D$29),(($D$13*(1-$D$14)/(1+$D$26))*$D$15*$D$16)*D106,0)</x:f>
        <x:v>0</x:v>
      </x:c>
    </x:row>
    <x:row r="107" ht="22" customHeight="1">
      <x:c r="C107" s="1" t="n">
        <x:v>67</x:v>
      </x:c>
      <x:c r="D107" s="3" t="n">
        <x:f>IF(C107&lt;=$D$30*12,(1+$D$31)^(-C107/12),0)</x:f>
        <x:v>0</x:v>
      </x:c>
      <x:c r="E107" s="3" t="n">
        <x:f>IF(C107=MAX(1,ROUNDUP(MAX($D$27,$D$29),0)),$D$13*($D$22+$D$24)*1000000*D107,0)</x:f>
        <x:v>0</x:v>
      </x:c>
      <x:c r="F107" s="3" t="n">
        <x:f>IF(C107=MAX(1,ROUNDUP(MAX($D$28,$D$29),0)),$D$13*($D$23+$D$25)*1000000*D107,0)</x:f>
        <x:v>0</x:v>
      </x:c>
      <x:c r="G107" s="3" t="n">
        <x:f>IF(C107&gt;MAX($D$27,$D$29),(($D$13*(1-$D$14)/(1+$D$26))*$D$15*$D$16)*8760/12*($D$17*$D$18/1000+$D$20)*D107,0)</x:f>
        <x:v>0</x:v>
      </x:c>
      <x:c r="H107" s="1" t="n">
        <x:f>IF(C107&gt;MAX($D$28,$D$29),(($D$13*(1-$D$14)/(1+$D$26))*$D$15*$D$16)*8760/12*($D$17*$D$19/1000+$D$21)*D107,0)</x:f>
        <x:v>0</x:v>
      </x:c>
      <x:c r="I107" s="1" t="n">
        <x:f>IF(C107&gt;MAX($D$27,$D$29),(($D$13*(1-$D$14)/(1+$D$26))*$D$15*$D$16)*D107,0)</x:f>
        <x:v>0</x:v>
      </x:c>
      <x:c r="J107" s="1" t="n">
        <x:f>IF(C107&gt;MAX($D$28,$D$29),(($D$13*(1-$D$14)/(1+$D$26))*$D$15*$D$16)*D107,0)</x:f>
        <x:v>0</x:v>
      </x:c>
      <x:c r="K107" s="1" t="n">
        <x:f>IF(C107&gt;MAX($D$33,$D$29),(($D$13*(1-$D$14)/(1+$D$26))*$D$15*$D$16)*8760/12*$D$34*D107,0)</x:f>
        <x:v>0</x:v>
      </x:c>
      <x:c r="L107" s="1" t="n">
        <x:f>IF(C107&gt;MAX($D$33,$D$29),(($D$13*(1-$D$14)/(1+$D$26))*$D$15*$D$16)*D107,0)</x:f>
        <x:v>0</x:v>
      </x:c>
    </x:row>
    <x:row r="108" ht="22" customHeight="1">
      <x:c r="C108" s="1" t="n">
        <x:v>68</x:v>
      </x:c>
      <x:c r="D108" s="3" t="n">
        <x:f>IF(C108&lt;=$D$30*12,(1+$D$31)^(-C108/12),0)</x:f>
        <x:v>0</x:v>
      </x:c>
      <x:c r="E108" s="3" t="n">
        <x:f>IF(C108=MAX(1,ROUNDUP(MAX($D$27,$D$29),0)),$D$13*($D$22+$D$24)*1000000*D108,0)</x:f>
        <x:v>0</x:v>
      </x:c>
      <x:c r="F108" s="3" t="n">
        <x:f>IF(C108=MAX(1,ROUNDUP(MAX($D$28,$D$29),0)),$D$13*($D$23+$D$25)*1000000*D108,0)</x:f>
        <x:v>0</x:v>
      </x:c>
      <x:c r="G108" s="3" t="n">
        <x:f>IF(C108&gt;MAX($D$27,$D$29),(($D$13*(1-$D$14)/(1+$D$26))*$D$15*$D$16)*8760/12*($D$17*$D$18/1000+$D$20)*D108,0)</x:f>
        <x:v>0</x:v>
      </x:c>
      <x:c r="H108" s="1" t="n">
        <x:f>IF(C108&gt;MAX($D$28,$D$29),(($D$13*(1-$D$14)/(1+$D$26))*$D$15*$D$16)*8760/12*($D$17*$D$19/1000+$D$21)*D108,0)</x:f>
        <x:v>0</x:v>
      </x:c>
      <x:c r="I108" s="1" t="n">
        <x:f>IF(C108&gt;MAX($D$27,$D$29),(($D$13*(1-$D$14)/(1+$D$26))*$D$15*$D$16)*D108,0)</x:f>
        <x:v>0</x:v>
      </x:c>
      <x:c r="J108" s="1" t="n">
        <x:f>IF(C108&gt;MAX($D$28,$D$29),(($D$13*(1-$D$14)/(1+$D$26))*$D$15*$D$16)*D108,0)</x:f>
        <x:v>0</x:v>
      </x:c>
      <x:c r="K108" s="1" t="n">
        <x:f>IF(C108&gt;MAX($D$33,$D$29),(($D$13*(1-$D$14)/(1+$D$26))*$D$15*$D$16)*8760/12*$D$34*D108,0)</x:f>
        <x:v>0</x:v>
      </x:c>
      <x:c r="L108" s="1" t="n">
        <x:f>IF(C108&gt;MAX($D$33,$D$29),(($D$13*(1-$D$14)/(1+$D$26))*$D$15*$D$16)*D108,0)</x:f>
        <x:v>0</x:v>
      </x:c>
    </x:row>
    <x:row r="109" ht="22" customHeight="1">
      <x:c r="C109" s="1" t="n">
        <x:v>69</x:v>
      </x:c>
      <x:c r="D109" s="3" t="n">
        <x:f>IF(C109&lt;=$D$30*12,(1+$D$31)^(-C109/12),0)</x:f>
        <x:v>0</x:v>
      </x:c>
      <x:c r="E109" s="3" t="n">
        <x:f>IF(C109=MAX(1,ROUNDUP(MAX($D$27,$D$29),0)),$D$13*($D$22+$D$24)*1000000*D109,0)</x:f>
        <x:v>0</x:v>
      </x:c>
      <x:c r="F109" s="3" t="n">
        <x:f>IF(C109=MAX(1,ROUNDUP(MAX($D$28,$D$29),0)),$D$13*($D$23+$D$25)*1000000*D109,0)</x:f>
        <x:v>0</x:v>
      </x:c>
      <x:c r="G109" s="3" t="n">
        <x:f>IF(C109&gt;MAX($D$27,$D$29),(($D$13*(1-$D$14)/(1+$D$26))*$D$15*$D$16)*8760/12*($D$17*$D$18/1000+$D$20)*D109,0)</x:f>
        <x:v>0</x:v>
      </x:c>
      <x:c r="H109" s="1" t="n">
        <x:f>IF(C109&gt;MAX($D$28,$D$29),(($D$13*(1-$D$14)/(1+$D$26))*$D$15*$D$16)*8760/12*($D$17*$D$19/1000+$D$21)*D109,0)</x:f>
        <x:v>0</x:v>
      </x:c>
      <x:c r="I109" s="1" t="n">
        <x:f>IF(C109&gt;MAX($D$27,$D$29),(($D$13*(1-$D$14)/(1+$D$26))*$D$15*$D$16)*D109,0)</x:f>
        <x:v>0</x:v>
      </x:c>
      <x:c r="J109" s="1" t="n">
        <x:f>IF(C109&gt;MAX($D$28,$D$29),(($D$13*(1-$D$14)/(1+$D$26))*$D$15*$D$16)*D109,0)</x:f>
        <x:v>0</x:v>
      </x:c>
      <x:c r="K109" s="1" t="n">
        <x:f>IF(C109&gt;MAX($D$33,$D$29),(($D$13*(1-$D$14)/(1+$D$26))*$D$15*$D$16)*8760/12*$D$34*D109,0)</x:f>
        <x:v>0</x:v>
      </x:c>
      <x:c r="L109" s="1" t="n">
        <x:f>IF(C109&gt;MAX($D$33,$D$29),(($D$13*(1-$D$14)/(1+$D$26))*$D$15*$D$16)*D109,0)</x:f>
        <x:v>0</x:v>
      </x:c>
    </x:row>
    <x:row r="110" ht="22" customHeight="1">
      <x:c r="C110" s="1" t="n">
        <x:v>70</x:v>
      </x:c>
      <x:c r="D110" s="3" t="n">
        <x:f>IF(C110&lt;=$D$30*12,(1+$D$31)^(-C110/12),0)</x:f>
        <x:v>0</x:v>
      </x:c>
      <x:c r="E110" s="3" t="n">
        <x:f>IF(C110=MAX(1,ROUNDUP(MAX($D$27,$D$29),0)),$D$13*($D$22+$D$24)*1000000*D110,0)</x:f>
        <x:v>0</x:v>
      </x:c>
      <x:c r="F110" s="3" t="n">
        <x:f>IF(C110=MAX(1,ROUNDUP(MAX($D$28,$D$29),0)),$D$13*($D$23+$D$25)*1000000*D110,0)</x:f>
        <x:v>0</x:v>
      </x:c>
      <x:c r="G110" s="3" t="n">
        <x:f>IF(C110&gt;MAX($D$27,$D$29),(($D$13*(1-$D$14)/(1+$D$26))*$D$15*$D$16)*8760/12*($D$17*$D$18/1000+$D$20)*D110,0)</x:f>
        <x:v>0</x:v>
      </x:c>
      <x:c r="H110" s="1" t="n">
        <x:f>IF(C110&gt;MAX($D$28,$D$29),(($D$13*(1-$D$14)/(1+$D$26))*$D$15*$D$16)*8760/12*($D$17*$D$19/1000+$D$21)*D110,0)</x:f>
        <x:v>0</x:v>
      </x:c>
      <x:c r="I110" s="1" t="n">
        <x:f>IF(C110&gt;MAX($D$27,$D$29),(($D$13*(1-$D$14)/(1+$D$26))*$D$15*$D$16)*D110,0)</x:f>
        <x:v>0</x:v>
      </x:c>
      <x:c r="J110" s="1" t="n">
        <x:f>IF(C110&gt;MAX($D$28,$D$29),(($D$13*(1-$D$14)/(1+$D$26))*$D$15*$D$16)*D110,0)</x:f>
        <x:v>0</x:v>
      </x:c>
      <x:c r="K110" s="1" t="n">
        <x:f>IF(C110&gt;MAX($D$33,$D$29),(($D$13*(1-$D$14)/(1+$D$26))*$D$15*$D$16)*8760/12*$D$34*D110,0)</x:f>
        <x:v>0</x:v>
      </x:c>
      <x:c r="L110" s="1" t="n">
        <x:f>IF(C110&gt;MAX($D$33,$D$29),(($D$13*(1-$D$14)/(1+$D$26))*$D$15*$D$16)*D110,0)</x:f>
        <x:v>0</x:v>
      </x:c>
    </x:row>
    <x:row r="111" ht="22" customHeight="1">
      <x:c r="C111" s="1" t="n">
        <x:v>71</x:v>
      </x:c>
      <x:c r="D111" s="3" t="n">
        <x:f>IF(C111&lt;=$D$30*12,(1+$D$31)^(-C111/12),0)</x:f>
        <x:v>0</x:v>
      </x:c>
      <x:c r="E111" s="3" t="n">
        <x:f>IF(C111=MAX(1,ROUNDUP(MAX($D$27,$D$29),0)),$D$13*($D$22+$D$24)*1000000*D111,0)</x:f>
        <x:v>0</x:v>
      </x:c>
      <x:c r="F111" s="3" t="n">
        <x:f>IF(C111=MAX(1,ROUNDUP(MAX($D$28,$D$29),0)),$D$13*($D$23+$D$25)*1000000*D111,0)</x:f>
        <x:v>0</x:v>
      </x:c>
      <x:c r="G111" s="3" t="n">
        <x:f>IF(C111&gt;MAX($D$27,$D$29),(($D$13*(1-$D$14)/(1+$D$26))*$D$15*$D$16)*8760/12*($D$17*$D$18/1000+$D$20)*D111,0)</x:f>
        <x:v>0</x:v>
      </x:c>
      <x:c r="H111" s="1" t="n">
        <x:f>IF(C111&gt;MAX($D$28,$D$29),(($D$13*(1-$D$14)/(1+$D$26))*$D$15*$D$16)*8760/12*($D$17*$D$19/1000+$D$21)*D111,0)</x:f>
        <x:v>0</x:v>
      </x:c>
      <x:c r="I111" s="1" t="n">
        <x:f>IF(C111&gt;MAX($D$27,$D$29),(($D$13*(1-$D$14)/(1+$D$26))*$D$15*$D$16)*D111,0)</x:f>
        <x:v>0</x:v>
      </x:c>
      <x:c r="J111" s="1" t="n">
        <x:f>IF(C111&gt;MAX($D$28,$D$29),(($D$13*(1-$D$14)/(1+$D$26))*$D$15*$D$16)*D111,0)</x:f>
        <x:v>0</x:v>
      </x:c>
      <x:c r="K111" s="1" t="n">
        <x:f>IF(C111&gt;MAX($D$33,$D$29),(($D$13*(1-$D$14)/(1+$D$26))*$D$15*$D$16)*8760/12*$D$34*D111,0)</x:f>
        <x:v>0</x:v>
      </x:c>
      <x:c r="L111" s="1" t="n">
        <x:f>IF(C111&gt;MAX($D$33,$D$29),(($D$13*(1-$D$14)/(1+$D$26))*$D$15*$D$16)*D111,0)</x:f>
        <x:v>0</x:v>
      </x:c>
    </x:row>
    <x:row r="112" ht="22" customHeight="1">
      <x:c r="C112" s="1" t="n">
        <x:v>72</x:v>
      </x:c>
      <x:c r="D112" s="3" t="n">
        <x:f>IF(C112&lt;=$D$30*12,(1+$D$31)^(-C112/12),0)</x:f>
        <x:v>0</x:v>
      </x:c>
      <x:c r="E112" s="3" t="n">
        <x:f>IF(C112=MAX(1,ROUNDUP(MAX($D$27,$D$29),0)),$D$13*($D$22+$D$24)*1000000*D112,0)</x:f>
        <x:v>0</x:v>
      </x:c>
      <x:c r="F112" s="3" t="n">
        <x:f>IF(C112=MAX(1,ROUNDUP(MAX($D$28,$D$29),0)),$D$13*($D$23+$D$25)*1000000*D112,0)</x:f>
        <x:v>0</x:v>
      </x:c>
      <x:c r="G112" s="3" t="n">
        <x:f>IF(C112&gt;MAX($D$27,$D$29),(($D$13*(1-$D$14)/(1+$D$26))*$D$15*$D$16)*8760/12*($D$17*$D$18/1000+$D$20)*D112,0)</x:f>
        <x:v>0</x:v>
      </x:c>
      <x:c r="H112" s="1" t="n">
        <x:f>IF(C112&gt;MAX($D$28,$D$29),(($D$13*(1-$D$14)/(1+$D$26))*$D$15*$D$16)*8760/12*($D$17*$D$19/1000+$D$21)*D112,0)</x:f>
        <x:v>0</x:v>
      </x:c>
      <x:c r="I112" s="1" t="n">
        <x:f>IF(C112&gt;MAX($D$27,$D$29),(($D$13*(1-$D$14)/(1+$D$26))*$D$15*$D$16)*D112,0)</x:f>
        <x:v>0</x:v>
      </x:c>
      <x:c r="J112" s="1" t="n">
        <x:f>IF(C112&gt;MAX($D$28,$D$29),(($D$13*(1-$D$14)/(1+$D$26))*$D$15*$D$16)*D112,0)</x:f>
        <x:v>0</x:v>
      </x:c>
      <x:c r="K112" s="1" t="n">
        <x:f>IF(C112&gt;MAX($D$33,$D$29),(($D$13*(1-$D$14)/(1+$D$26))*$D$15*$D$16)*8760/12*$D$34*D112,0)</x:f>
        <x:v>0</x:v>
      </x:c>
      <x:c r="L112" s="1" t="n">
        <x:f>IF(C112&gt;MAX($D$33,$D$29),(($D$13*(1-$D$14)/(1+$D$26))*$D$15*$D$16)*D112,0)</x:f>
        <x:v>0</x:v>
      </x:c>
    </x:row>
    <x:row r="113" ht="22" customHeight="1">
      <x:c r="C113" s="1" t="n">
        <x:v>73</x:v>
      </x:c>
      <x:c r="D113" s="3" t="n">
        <x:f>IF(C113&lt;=$D$30*12,(1+$D$31)^(-C113/12),0)</x:f>
        <x:v>0</x:v>
      </x:c>
      <x:c r="E113" s="3" t="n">
        <x:f>IF(C113=MAX(1,ROUNDUP(MAX($D$27,$D$29),0)),$D$13*($D$22+$D$24)*1000000*D113,0)</x:f>
        <x:v>0</x:v>
      </x:c>
      <x:c r="F113" s="3" t="n">
        <x:f>IF(C113=MAX(1,ROUNDUP(MAX($D$28,$D$29),0)),$D$13*($D$23+$D$25)*1000000*D113,0)</x:f>
        <x:v>0</x:v>
      </x:c>
      <x:c r="G113" s="3" t="n">
        <x:f>IF(C113&gt;MAX($D$27,$D$29),(($D$13*(1-$D$14)/(1+$D$26))*$D$15*$D$16)*8760/12*($D$17*$D$18/1000+$D$20)*D113,0)</x:f>
        <x:v>0</x:v>
      </x:c>
      <x:c r="H113" s="1" t="n">
        <x:f>IF(C113&gt;MAX($D$28,$D$29),(($D$13*(1-$D$14)/(1+$D$26))*$D$15*$D$16)*8760/12*($D$17*$D$19/1000+$D$21)*D113,0)</x:f>
        <x:v>0</x:v>
      </x:c>
      <x:c r="I113" s="1" t="n">
        <x:f>IF(C113&gt;MAX($D$27,$D$29),(($D$13*(1-$D$14)/(1+$D$26))*$D$15*$D$16)*D113,0)</x:f>
        <x:v>0</x:v>
      </x:c>
      <x:c r="J113" s="1" t="n">
        <x:f>IF(C113&gt;MAX($D$28,$D$29),(($D$13*(1-$D$14)/(1+$D$26))*$D$15*$D$16)*D113,0)</x:f>
        <x:v>0</x:v>
      </x:c>
      <x:c r="K113" s="1" t="n">
        <x:f>IF(C113&gt;MAX($D$33,$D$29),(($D$13*(1-$D$14)/(1+$D$26))*$D$15*$D$16)*8760/12*$D$34*D113,0)</x:f>
        <x:v>0</x:v>
      </x:c>
      <x:c r="L113" s="1" t="n">
        <x:f>IF(C113&gt;MAX($D$33,$D$29),(($D$13*(1-$D$14)/(1+$D$26))*$D$15*$D$16)*D113,0)</x:f>
        <x:v>0</x:v>
      </x:c>
    </x:row>
    <x:row r="114" ht="22" customHeight="1">
      <x:c r="C114" s="1" t="n">
        <x:v>74</x:v>
      </x:c>
      <x:c r="D114" s="3" t="n">
        <x:f>IF(C114&lt;=$D$30*12,(1+$D$31)^(-C114/12),0)</x:f>
        <x:v>0</x:v>
      </x:c>
      <x:c r="E114" s="3" t="n">
        <x:f>IF(C114=MAX(1,ROUNDUP(MAX($D$27,$D$29),0)),$D$13*($D$22+$D$24)*1000000*D114,0)</x:f>
        <x:v>0</x:v>
      </x:c>
      <x:c r="F114" s="3" t="n">
        <x:f>IF(C114=MAX(1,ROUNDUP(MAX($D$28,$D$29),0)),$D$13*($D$23+$D$25)*1000000*D114,0)</x:f>
        <x:v>0</x:v>
      </x:c>
      <x:c r="G114" s="3" t="n">
        <x:f>IF(C114&gt;MAX($D$27,$D$29),(($D$13*(1-$D$14)/(1+$D$26))*$D$15*$D$16)*8760/12*($D$17*$D$18/1000+$D$20)*D114,0)</x:f>
        <x:v>0</x:v>
      </x:c>
      <x:c r="H114" s="1" t="n">
        <x:f>IF(C114&gt;MAX($D$28,$D$29),(($D$13*(1-$D$14)/(1+$D$26))*$D$15*$D$16)*8760/12*($D$17*$D$19/1000+$D$21)*D114,0)</x:f>
        <x:v>0</x:v>
      </x:c>
      <x:c r="I114" s="1" t="n">
        <x:f>IF(C114&gt;MAX($D$27,$D$29),(($D$13*(1-$D$14)/(1+$D$26))*$D$15*$D$16)*D114,0)</x:f>
        <x:v>0</x:v>
      </x:c>
      <x:c r="J114" s="1" t="n">
        <x:f>IF(C114&gt;MAX($D$28,$D$29),(($D$13*(1-$D$14)/(1+$D$26))*$D$15*$D$16)*D114,0)</x:f>
        <x:v>0</x:v>
      </x:c>
      <x:c r="K114" s="1" t="n">
        <x:f>IF(C114&gt;MAX($D$33,$D$29),(($D$13*(1-$D$14)/(1+$D$26))*$D$15*$D$16)*8760/12*$D$34*D114,0)</x:f>
        <x:v>0</x:v>
      </x:c>
      <x:c r="L114" s="1" t="n">
        <x:f>IF(C114&gt;MAX($D$33,$D$29),(($D$13*(1-$D$14)/(1+$D$26))*$D$15*$D$16)*D114,0)</x:f>
        <x:v>0</x:v>
      </x:c>
    </x:row>
    <x:row r="115" ht="22" customHeight="1">
      <x:c r="C115" s="1" t="n">
        <x:v>75</x:v>
      </x:c>
      <x:c r="D115" s="3" t="n">
        <x:f>IF(C115&lt;=$D$30*12,(1+$D$31)^(-C115/12),0)</x:f>
        <x:v>0</x:v>
      </x:c>
      <x:c r="E115" s="3" t="n">
        <x:f>IF(C115=MAX(1,ROUNDUP(MAX($D$27,$D$29),0)),$D$13*($D$22+$D$24)*1000000*D115,0)</x:f>
        <x:v>0</x:v>
      </x:c>
      <x:c r="F115" s="3" t="n">
        <x:f>IF(C115=MAX(1,ROUNDUP(MAX($D$28,$D$29),0)),$D$13*($D$23+$D$25)*1000000*D115,0)</x:f>
        <x:v>0</x:v>
      </x:c>
      <x:c r="G115" s="3" t="n">
        <x:f>IF(C115&gt;MAX($D$27,$D$29),(($D$13*(1-$D$14)/(1+$D$26))*$D$15*$D$16)*8760/12*($D$17*$D$18/1000+$D$20)*D115,0)</x:f>
        <x:v>0</x:v>
      </x:c>
      <x:c r="H115" s="1" t="n">
        <x:f>IF(C115&gt;MAX($D$28,$D$29),(($D$13*(1-$D$14)/(1+$D$26))*$D$15*$D$16)*8760/12*($D$17*$D$19/1000+$D$21)*D115,0)</x:f>
        <x:v>0</x:v>
      </x:c>
      <x:c r="I115" s="1" t="n">
        <x:f>IF(C115&gt;MAX($D$27,$D$29),(($D$13*(1-$D$14)/(1+$D$26))*$D$15*$D$16)*D115,0)</x:f>
        <x:v>0</x:v>
      </x:c>
      <x:c r="J115" s="1" t="n">
        <x:f>IF(C115&gt;MAX($D$28,$D$29),(($D$13*(1-$D$14)/(1+$D$26))*$D$15*$D$16)*D115,0)</x:f>
        <x:v>0</x:v>
      </x:c>
      <x:c r="K115" s="1" t="n">
        <x:f>IF(C115&gt;MAX($D$33,$D$29),(($D$13*(1-$D$14)/(1+$D$26))*$D$15*$D$16)*8760/12*$D$34*D115,0)</x:f>
        <x:v>0</x:v>
      </x:c>
      <x:c r="L115" s="1" t="n">
        <x:f>IF(C115&gt;MAX($D$33,$D$29),(($D$13*(1-$D$14)/(1+$D$26))*$D$15*$D$16)*D115,0)</x:f>
        <x:v>0</x:v>
      </x:c>
    </x:row>
    <x:row r="116" ht="22" customHeight="1">
      <x:c r="C116" s="1" t="n">
        <x:v>76</x:v>
      </x:c>
      <x:c r="D116" s="3" t="n">
        <x:f>IF(C116&lt;=$D$30*12,(1+$D$31)^(-C116/12),0)</x:f>
        <x:v>0</x:v>
      </x:c>
      <x:c r="E116" s="3" t="n">
        <x:f>IF(C116=MAX(1,ROUNDUP(MAX($D$27,$D$29),0)),$D$13*($D$22+$D$24)*1000000*D116,0)</x:f>
        <x:v>0</x:v>
      </x:c>
      <x:c r="F116" s="3" t="n">
        <x:f>IF(C116=MAX(1,ROUNDUP(MAX($D$28,$D$29),0)),$D$13*($D$23+$D$25)*1000000*D116,0)</x:f>
        <x:v>0</x:v>
      </x:c>
      <x:c r="G116" s="3" t="n">
        <x:f>IF(C116&gt;MAX($D$27,$D$29),(($D$13*(1-$D$14)/(1+$D$26))*$D$15*$D$16)*8760/12*($D$17*$D$18/1000+$D$20)*D116,0)</x:f>
        <x:v>0</x:v>
      </x:c>
      <x:c r="H116" s="1" t="n">
        <x:f>IF(C116&gt;MAX($D$28,$D$29),(($D$13*(1-$D$14)/(1+$D$26))*$D$15*$D$16)*8760/12*($D$17*$D$19/1000+$D$21)*D116,0)</x:f>
        <x:v>0</x:v>
      </x:c>
      <x:c r="I116" s="1" t="n">
        <x:f>IF(C116&gt;MAX($D$27,$D$29),(($D$13*(1-$D$14)/(1+$D$26))*$D$15*$D$16)*D116,0)</x:f>
        <x:v>0</x:v>
      </x:c>
      <x:c r="J116" s="1" t="n">
        <x:f>IF(C116&gt;MAX($D$28,$D$29),(($D$13*(1-$D$14)/(1+$D$26))*$D$15*$D$16)*D116,0)</x:f>
        <x:v>0</x:v>
      </x:c>
      <x:c r="K116" s="1" t="n">
        <x:f>IF(C116&gt;MAX($D$33,$D$29),(($D$13*(1-$D$14)/(1+$D$26))*$D$15*$D$16)*8760/12*$D$34*D116,0)</x:f>
        <x:v>0</x:v>
      </x:c>
      <x:c r="L116" s="1" t="n">
        <x:f>IF(C116&gt;MAX($D$33,$D$29),(($D$13*(1-$D$14)/(1+$D$26))*$D$15*$D$16)*D116,0)</x:f>
        <x:v>0</x:v>
      </x:c>
    </x:row>
    <x:row r="117" ht="22" customHeight="1">
      <x:c r="C117" s="1" t="n">
        <x:v>77</x:v>
      </x:c>
      <x:c r="D117" s="3" t="n">
        <x:f>IF(C117&lt;=$D$30*12,(1+$D$31)^(-C117/12),0)</x:f>
        <x:v>0</x:v>
      </x:c>
      <x:c r="E117" s="3" t="n">
        <x:f>IF(C117=MAX(1,ROUNDUP(MAX($D$27,$D$29),0)),$D$13*($D$22+$D$24)*1000000*D117,0)</x:f>
        <x:v>0</x:v>
      </x:c>
      <x:c r="F117" s="3" t="n">
        <x:f>IF(C117=MAX(1,ROUNDUP(MAX($D$28,$D$29),0)),$D$13*($D$23+$D$25)*1000000*D117,0)</x:f>
        <x:v>0</x:v>
      </x:c>
      <x:c r="G117" s="3" t="n">
        <x:f>IF(C117&gt;MAX($D$27,$D$29),(($D$13*(1-$D$14)/(1+$D$26))*$D$15*$D$16)*8760/12*($D$17*$D$18/1000+$D$20)*D117,0)</x:f>
        <x:v>0</x:v>
      </x:c>
      <x:c r="H117" s="1" t="n">
        <x:f>IF(C117&gt;MAX($D$28,$D$29),(($D$13*(1-$D$14)/(1+$D$26))*$D$15*$D$16)*8760/12*($D$17*$D$19/1000+$D$21)*D117,0)</x:f>
        <x:v>0</x:v>
      </x:c>
      <x:c r="I117" s="1" t="n">
        <x:f>IF(C117&gt;MAX($D$27,$D$29),(($D$13*(1-$D$14)/(1+$D$26))*$D$15*$D$16)*D117,0)</x:f>
        <x:v>0</x:v>
      </x:c>
      <x:c r="J117" s="1" t="n">
        <x:f>IF(C117&gt;MAX($D$28,$D$29),(($D$13*(1-$D$14)/(1+$D$26))*$D$15*$D$16)*D117,0)</x:f>
        <x:v>0</x:v>
      </x:c>
      <x:c r="K117" s="1" t="n">
        <x:f>IF(C117&gt;MAX($D$33,$D$29),(($D$13*(1-$D$14)/(1+$D$26))*$D$15*$D$16)*8760/12*$D$34*D117,0)</x:f>
        <x:v>0</x:v>
      </x:c>
      <x:c r="L117" s="1" t="n">
        <x:f>IF(C117&gt;MAX($D$33,$D$29),(($D$13*(1-$D$14)/(1+$D$26))*$D$15*$D$16)*D117,0)</x:f>
        <x:v>0</x:v>
      </x:c>
    </x:row>
    <x:row r="118" ht="22" customHeight="1">
      <x:c r="C118" s="1" t="n">
        <x:v>78</x:v>
      </x:c>
      <x:c r="D118" s="3" t="n">
        <x:f>IF(C118&lt;=$D$30*12,(1+$D$31)^(-C118/12),0)</x:f>
        <x:v>0</x:v>
      </x:c>
      <x:c r="E118" s="3" t="n">
        <x:f>IF(C118=MAX(1,ROUNDUP(MAX($D$27,$D$29),0)),$D$13*($D$22+$D$24)*1000000*D118,0)</x:f>
        <x:v>0</x:v>
      </x:c>
      <x:c r="F118" s="3" t="n">
        <x:f>IF(C118=MAX(1,ROUNDUP(MAX($D$28,$D$29),0)),$D$13*($D$23+$D$25)*1000000*D118,0)</x:f>
        <x:v>0</x:v>
      </x:c>
      <x:c r="G118" s="3" t="n">
        <x:f>IF(C118&gt;MAX($D$27,$D$29),(($D$13*(1-$D$14)/(1+$D$26))*$D$15*$D$16)*8760/12*($D$17*$D$18/1000+$D$20)*D118,0)</x:f>
        <x:v>0</x:v>
      </x:c>
      <x:c r="H118" s="1" t="n">
        <x:f>IF(C118&gt;MAX($D$28,$D$29),(($D$13*(1-$D$14)/(1+$D$26))*$D$15*$D$16)*8760/12*($D$17*$D$19/1000+$D$21)*D118,0)</x:f>
        <x:v>0</x:v>
      </x:c>
      <x:c r="I118" s="1" t="n">
        <x:f>IF(C118&gt;MAX($D$27,$D$29),(($D$13*(1-$D$14)/(1+$D$26))*$D$15*$D$16)*D118,0)</x:f>
        <x:v>0</x:v>
      </x:c>
      <x:c r="J118" s="1" t="n">
        <x:f>IF(C118&gt;MAX($D$28,$D$29),(($D$13*(1-$D$14)/(1+$D$26))*$D$15*$D$16)*D118,0)</x:f>
        <x:v>0</x:v>
      </x:c>
      <x:c r="K118" s="1" t="n">
        <x:f>IF(C118&gt;MAX($D$33,$D$29),(($D$13*(1-$D$14)/(1+$D$26))*$D$15*$D$16)*8760/12*$D$34*D118,0)</x:f>
        <x:v>0</x:v>
      </x:c>
      <x:c r="L118" s="1" t="n">
        <x:f>IF(C118&gt;MAX($D$33,$D$29),(($D$13*(1-$D$14)/(1+$D$26))*$D$15*$D$16)*D118,0)</x:f>
        <x:v>0</x:v>
      </x:c>
    </x:row>
    <x:row r="119" ht="22" customHeight="1">
      <x:c r="C119" s="1" t="n">
        <x:v>79</x:v>
      </x:c>
      <x:c r="D119" s="3" t="n">
        <x:f>IF(C119&lt;=$D$30*12,(1+$D$31)^(-C119/12),0)</x:f>
        <x:v>0</x:v>
      </x:c>
      <x:c r="E119" s="3" t="n">
        <x:f>IF(C119=MAX(1,ROUNDUP(MAX($D$27,$D$29),0)),$D$13*($D$22+$D$24)*1000000*D119,0)</x:f>
        <x:v>0</x:v>
      </x:c>
      <x:c r="F119" s="3" t="n">
        <x:f>IF(C119=MAX(1,ROUNDUP(MAX($D$28,$D$29),0)),$D$13*($D$23+$D$25)*1000000*D119,0)</x:f>
        <x:v>0</x:v>
      </x:c>
      <x:c r="G119" s="3" t="n">
        <x:f>IF(C119&gt;MAX($D$27,$D$29),(($D$13*(1-$D$14)/(1+$D$26))*$D$15*$D$16)*8760/12*($D$17*$D$18/1000+$D$20)*D119,0)</x:f>
        <x:v>0</x:v>
      </x:c>
      <x:c r="H119" s="1" t="n">
        <x:f>IF(C119&gt;MAX($D$28,$D$29),(($D$13*(1-$D$14)/(1+$D$26))*$D$15*$D$16)*8760/12*($D$17*$D$19/1000+$D$21)*D119,0)</x:f>
        <x:v>0</x:v>
      </x:c>
      <x:c r="I119" s="1" t="n">
        <x:f>IF(C119&gt;MAX($D$27,$D$29),(($D$13*(1-$D$14)/(1+$D$26))*$D$15*$D$16)*D119,0)</x:f>
        <x:v>0</x:v>
      </x:c>
      <x:c r="J119" s="1" t="n">
        <x:f>IF(C119&gt;MAX($D$28,$D$29),(($D$13*(1-$D$14)/(1+$D$26))*$D$15*$D$16)*D119,0)</x:f>
        <x:v>0</x:v>
      </x:c>
      <x:c r="K119" s="1" t="n">
        <x:f>IF(C119&gt;MAX($D$33,$D$29),(($D$13*(1-$D$14)/(1+$D$26))*$D$15*$D$16)*8760/12*$D$34*D119,0)</x:f>
        <x:v>0</x:v>
      </x:c>
      <x:c r="L119" s="1" t="n">
        <x:f>IF(C119&gt;MAX($D$33,$D$29),(($D$13*(1-$D$14)/(1+$D$26))*$D$15*$D$16)*D119,0)</x:f>
        <x:v>0</x:v>
      </x:c>
    </x:row>
    <x:row r="120" ht="22" customHeight="1">
      <x:c r="C120" s="1" t="n">
        <x:v>80</x:v>
      </x:c>
      <x:c r="D120" s="3" t="n">
        <x:f>IF(C120&lt;=$D$30*12,(1+$D$31)^(-C120/12),0)</x:f>
        <x:v>0</x:v>
      </x:c>
      <x:c r="E120" s="3" t="n">
        <x:f>IF(C120=MAX(1,ROUNDUP(MAX($D$27,$D$29),0)),$D$13*($D$22+$D$24)*1000000*D120,0)</x:f>
        <x:v>0</x:v>
      </x:c>
      <x:c r="F120" s="3" t="n">
        <x:f>IF(C120=MAX(1,ROUNDUP(MAX($D$28,$D$29),0)),$D$13*($D$23+$D$25)*1000000*D120,0)</x:f>
        <x:v>0</x:v>
      </x:c>
      <x:c r="G120" s="3" t="n">
        <x:f>IF(C120&gt;MAX($D$27,$D$29),(($D$13*(1-$D$14)/(1+$D$26))*$D$15*$D$16)*8760/12*($D$17*$D$18/1000+$D$20)*D120,0)</x:f>
        <x:v>0</x:v>
      </x:c>
      <x:c r="H120" s="1" t="n">
        <x:f>IF(C120&gt;MAX($D$28,$D$29),(($D$13*(1-$D$14)/(1+$D$26))*$D$15*$D$16)*8760/12*($D$17*$D$19/1000+$D$21)*D120,0)</x:f>
        <x:v>0</x:v>
      </x:c>
      <x:c r="I120" s="1" t="n">
        <x:f>IF(C120&gt;MAX($D$27,$D$29),(($D$13*(1-$D$14)/(1+$D$26))*$D$15*$D$16)*D120,0)</x:f>
        <x:v>0</x:v>
      </x:c>
      <x:c r="J120" s="1" t="n">
        <x:f>IF(C120&gt;MAX($D$28,$D$29),(($D$13*(1-$D$14)/(1+$D$26))*$D$15*$D$16)*D120,0)</x:f>
        <x:v>0</x:v>
      </x:c>
      <x:c r="K120" s="1" t="n">
        <x:f>IF(C120&gt;MAX($D$33,$D$29),(($D$13*(1-$D$14)/(1+$D$26))*$D$15*$D$16)*8760/12*$D$34*D120,0)</x:f>
        <x:v>0</x:v>
      </x:c>
      <x:c r="L120" s="1" t="n">
        <x:f>IF(C120&gt;MAX($D$33,$D$29),(($D$13*(1-$D$14)/(1+$D$26))*$D$15*$D$16)*D120,0)</x:f>
        <x:v>0</x:v>
      </x:c>
    </x:row>
    <x:row r="121" ht="22" customHeight="1">
      <x:c r="C121" s="1" t="n">
        <x:v>81</x:v>
      </x:c>
      <x:c r="D121" s="3" t="n">
        <x:f>IF(C121&lt;=$D$30*12,(1+$D$31)^(-C121/12),0)</x:f>
        <x:v>0</x:v>
      </x:c>
      <x:c r="E121" s="3" t="n">
        <x:f>IF(C121=MAX(1,ROUNDUP(MAX($D$27,$D$29),0)),$D$13*($D$22+$D$24)*1000000*D121,0)</x:f>
        <x:v>0</x:v>
      </x:c>
      <x:c r="F121" s="3" t="n">
        <x:f>IF(C121=MAX(1,ROUNDUP(MAX($D$28,$D$29),0)),$D$13*($D$23+$D$25)*1000000*D121,0)</x:f>
        <x:v>0</x:v>
      </x:c>
      <x:c r="G121" s="3" t="n">
        <x:f>IF(C121&gt;MAX($D$27,$D$29),(($D$13*(1-$D$14)/(1+$D$26))*$D$15*$D$16)*8760/12*($D$17*$D$18/1000+$D$20)*D121,0)</x:f>
        <x:v>0</x:v>
      </x:c>
      <x:c r="H121" s="1" t="n">
        <x:f>IF(C121&gt;MAX($D$28,$D$29),(($D$13*(1-$D$14)/(1+$D$26))*$D$15*$D$16)*8760/12*($D$17*$D$19/1000+$D$21)*D121,0)</x:f>
        <x:v>0</x:v>
      </x:c>
      <x:c r="I121" s="1" t="n">
        <x:f>IF(C121&gt;MAX($D$27,$D$29),(($D$13*(1-$D$14)/(1+$D$26))*$D$15*$D$16)*D121,0)</x:f>
        <x:v>0</x:v>
      </x:c>
      <x:c r="J121" s="1" t="n">
        <x:f>IF(C121&gt;MAX($D$28,$D$29),(($D$13*(1-$D$14)/(1+$D$26))*$D$15*$D$16)*D121,0)</x:f>
        <x:v>0</x:v>
      </x:c>
      <x:c r="K121" s="1" t="n">
        <x:f>IF(C121&gt;MAX($D$33,$D$29),(($D$13*(1-$D$14)/(1+$D$26))*$D$15*$D$16)*8760/12*$D$34*D121,0)</x:f>
        <x:v>0</x:v>
      </x:c>
      <x:c r="L121" s="1" t="n">
        <x:f>IF(C121&gt;MAX($D$33,$D$29),(($D$13*(1-$D$14)/(1+$D$26))*$D$15*$D$16)*D121,0)</x:f>
        <x:v>0</x:v>
      </x:c>
    </x:row>
    <x:row r="122" ht="22" customHeight="1">
      <x:c r="C122" s="1" t="n">
        <x:v>82</x:v>
      </x:c>
      <x:c r="D122" s="3" t="n">
        <x:f>IF(C122&lt;=$D$30*12,(1+$D$31)^(-C122/12),0)</x:f>
        <x:v>0</x:v>
      </x:c>
      <x:c r="E122" s="3" t="n">
        <x:f>IF(C122=MAX(1,ROUNDUP(MAX($D$27,$D$29),0)),$D$13*($D$22+$D$24)*1000000*D122,0)</x:f>
        <x:v>0</x:v>
      </x:c>
      <x:c r="F122" s="3" t="n">
        <x:f>IF(C122=MAX(1,ROUNDUP(MAX($D$28,$D$29),0)),$D$13*($D$23+$D$25)*1000000*D122,0)</x:f>
        <x:v>0</x:v>
      </x:c>
      <x:c r="G122" s="3" t="n">
        <x:f>IF(C122&gt;MAX($D$27,$D$29),(($D$13*(1-$D$14)/(1+$D$26))*$D$15*$D$16)*8760/12*($D$17*$D$18/1000+$D$20)*D122,0)</x:f>
        <x:v>0</x:v>
      </x:c>
      <x:c r="H122" s="1" t="n">
        <x:f>IF(C122&gt;MAX($D$28,$D$29),(($D$13*(1-$D$14)/(1+$D$26))*$D$15*$D$16)*8760/12*($D$17*$D$19/1000+$D$21)*D122,0)</x:f>
        <x:v>0</x:v>
      </x:c>
      <x:c r="I122" s="1" t="n">
        <x:f>IF(C122&gt;MAX($D$27,$D$29),(($D$13*(1-$D$14)/(1+$D$26))*$D$15*$D$16)*D122,0)</x:f>
        <x:v>0</x:v>
      </x:c>
      <x:c r="J122" s="1" t="n">
        <x:f>IF(C122&gt;MAX($D$28,$D$29),(($D$13*(1-$D$14)/(1+$D$26))*$D$15*$D$16)*D122,0)</x:f>
        <x:v>0</x:v>
      </x:c>
      <x:c r="K122" s="1" t="n">
        <x:f>IF(C122&gt;MAX($D$33,$D$29),(($D$13*(1-$D$14)/(1+$D$26))*$D$15*$D$16)*8760/12*$D$34*D122,0)</x:f>
        <x:v>0</x:v>
      </x:c>
      <x:c r="L122" s="1" t="n">
        <x:f>IF(C122&gt;MAX($D$33,$D$29),(($D$13*(1-$D$14)/(1+$D$26))*$D$15*$D$16)*D122,0)</x:f>
        <x:v>0</x:v>
      </x:c>
    </x:row>
    <x:row r="123" ht="22" customHeight="1">
      <x:c r="C123" s="1" t="n">
        <x:v>83</x:v>
      </x:c>
      <x:c r="D123" s="3" t="n">
        <x:f>IF(C123&lt;=$D$30*12,(1+$D$31)^(-C123/12),0)</x:f>
        <x:v>0</x:v>
      </x:c>
      <x:c r="E123" s="3" t="n">
        <x:f>IF(C123=MAX(1,ROUNDUP(MAX($D$27,$D$29),0)),$D$13*($D$22+$D$24)*1000000*D123,0)</x:f>
        <x:v>0</x:v>
      </x:c>
      <x:c r="F123" s="3" t="n">
        <x:f>IF(C123=MAX(1,ROUNDUP(MAX($D$28,$D$29),0)),$D$13*($D$23+$D$25)*1000000*D123,0)</x:f>
        <x:v>0</x:v>
      </x:c>
      <x:c r="G123" s="3" t="n">
        <x:f>IF(C123&gt;MAX($D$27,$D$29),(($D$13*(1-$D$14)/(1+$D$26))*$D$15*$D$16)*8760/12*($D$17*$D$18/1000+$D$20)*D123,0)</x:f>
        <x:v>0</x:v>
      </x:c>
      <x:c r="H123" s="1" t="n">
        <x:f>IF(C123&gt;MAX($D$28,$D$29),(($D$13*(1-$D$14)/(1+$D$26))*$D$15*$D$16)*8760/12*($D$17*$D$19/1000+$D$21)*D123,0)</x:f>
        <x:v>0</x:v>
      </x:c>
      <x:c r="I123" s="1" t="n">
        <x:f>IF(C123&gt;MAX($D$27,$D$29),(($D$13*(1-$D$14)/(1+$D$26))*$D$15*$D$16)*D123,0)</x:f>
        <x:v>0</x:v>
      </x:c>
      <x:c r="J123" s="1" t="n">
        <x:f>IF(C123&gt;MAX($D$28,$D$29),(($D$13*(1-$D$14)/(1+$D$26))*$D$15*$D$16)*D123,0)</x:f>
        <x:v>0</x:v>
      </x:c>
      <x:c r="K123" s="1" t="n">
        <x:f>IF(C123&gt;MAX($D$33,$D$29),(($D$13*(1-$D$14)/(1+$D$26))*$D$15*$D$16)*8760/12*$D$34*D123,0)</x:f>
        <x:v>0</x:v>
      </x:c>
      <x:c r="L123" s="1" t="n">
        <x:f>IF(C123&gt;MAX($D$33,$D$29),(($D$13*(1-$D$14)/(1+$D$26))*$D$15*$D$16)*D123,0)</x:f>
        <x:v>0</x:v>
      </x:c>
    </x:row>
    <x:row r="124" ht="22" customHeight="1">
      <x:c r="C124" s="1" t="n">
        <x:v>84</x:v>
      </x:c>
      <x:c r="D124" s="3" t="n">
        <x:f>IF(C124&lt;=$D$30*12,(1+$D$31)^(-C124/12),0)</x:f>
        <x:v>0</x:v>
      </x:c>
      <x:c r="E124" s="3" t="n">
        <x:f>IF(C124=MAX(1,ROUNDUP(MAX($D$27,$D$29),0)),$D$13*($D$22+$D$24)*1000000*D124,0)</x:f>
        <x:v>0</x:v>
      </x:c>
      <x:c r="F124" s="3" t="n">
        <x:f>IF(C124=MAX(1,ROUNDUP(MAX($D$28,$D$29),0)),$D$13*($D$23+$D$25)*1000000*D124,0)</x:f>
        <x:v>0</x:v>
      </x:c>
      <x:c r="G124" s="3" t="n">
        <x:f>IF(C124&gt;MAX($D$27,$D$29),(($D$13*(1-$D$14)/(1+$D$26))*$D$15*$D$16)*8760/12*($D$17*$D$18/1000+$D$20)*D124,0)</x:f>
        <x:v>0</x:v>
      </x:c>
      <x:c r="H124" s="1" t="n">
        <x:f>IF(C124&gt;MAX($D$28,$D$29),(($D$13*(1-$D$14)/(1+$D$26))*$D$15*$D$16)*8760/12*($D$17*$D$19/1000+$D$21)*D124,0)</x:f>
        <x:v>0</x:v>
      </x:c>
      <x:c r="I124" s="1" t="n">
        <x:f>IF(C124&gt;MAX($D$27,$D$29),(($D$13*(1-$D$14)/(1+$D$26))*$D$15*$D$16)*D124,0)</x:f>
        <x:v>0</x:v>
      </x:c>
      <x:c r="J124" s="1" t="n">
        <x:f>IF(C124&gt;MAX($D$28,$D$29),(($D$13*(1-$D$14)/(1+$D$26))*$D$15*$D$16)*D124,0)</x:f>
        <x:v>0</x:v>
      </x:c>
      <x:c r="K124" s="1" t="n">
        <x:f>IF(C124&gt;MAX($D$33,$D$29),(($D$13*(1-$D$14)/(1+$D$26))*$D$15*$D$16)*8760/12*$D$34*D124,0)</x:f>
        <x:v>0</x:v>
      </x:c>
      <x:c r="L124" s="1" t="n">
        <x:f>IF(C124&gt;MAX($D$33,$D$29),(($D$13*(1-$D$14)/(1+$D$26))*$D$15*$D$16)*D124,0)</x:f>
        <x:v>0</x:v>
      </x:c>
    </x:row>
    <x:row r="125" ht="22" customHeight="1">
      <x:c r="C125" s="1" t="n">
        <x:v>85</x:v>
      </x:c>
      <x:c r="D125" s="3" t="n">
        <x:f>IF(C125&lt;=$D$30*12,(1+$D$31)^(-C125/12),0)</x:f>
        <x:v>0</x:v>
      </x:c>
      <x:c r="E125" s="3" t="n">
        <x:f>IF(C125=MAX(1,ROUNDUP(MAX($D$27,$D$29),0)),$D$13*($D$22+$D$24)*1000000*D125,0)</x:f>
        <x:v>0</x:v>
      </x:c>
      <x:c r="F125" s="3" t="n">
        <x:f>IF(C125=MAX(1,ROUNDUP(MAX($D$28,$D$29),0)),$D$13*($D$23+$D$25)*1000000*D125,0)</x:f>
        <x:v>0</x:v>
      </x:c>
      <x:c r="G125" s="3" t="n">
        <x:f>IF(C125&gt;MAX($D$27,$D$29),(($D$13*(1-$D$14)/(1+$D$26))*$D$15*$D$16)*8760/12*($D$17*$D$18/1000+$D$20)*D125,0)</x:f>
        <x:v>0</x:v>
      </x:c>
      <x:c r="H125" s="1" t="n">
        <x:f>IF(C125&gt;MAX($D$28,$D$29),(($D$13*(1-$D$14)/(1+$D$26))*$D$15*$D$16)*8760/12*($D$17*$D$19/1000+$D$21)*D125,0)</x:f>
        <x:v>0</x:v>
      </x:c>
      <x:c r="I125" s="1" t="n">
        <x:f>IF(C125&gt;MAX($D$27,$D$29),(($D$13*(1-$D$14)/(1+$D$26))*$D$15*$D$16)*D125,0)</x:f>
        <x:v>0</x:v>
      </x:c>
      <x:c r="J125" s="1" t="n">
        <x:f>IF(C125&gt;MAX($D$28,$D$29),(($D$13*(1-$D$14)/(1+$D$26))*$D$15*$D$16)*D125,0)</x:f>
        <x:v>0</x:v>
      </x:c>
      <x:c r="K125" s="1" t="n">
        <x:f>IF(C125&gt;MAX($D$33,$D$29),(($D$13*(1-$D$14)/(1+$D$26))*$D$15*$D$16)*8760/12*$D$34*D125,0)</x:f>
        <x:v>0</x:v>
      </x:c>
      <x:c r="L125" s="1" t="n">
        <x:f>IF(C125&gt;MAX($D$33,$D$29),(($D$13*(1-$D$14)/(1+$D$26))*$D$15*$D$16)*D125,0)</x:f>
        <x:v>0</x:v>
      </x:c>
    </x:row>
    <x:row r="126" ht="22" customHeight="1">
      <x:c r="C126" s="1" t="n">
        <x:v>86</x:v>
      </x:c>
      <x:c r="D126" s="3" t="n">
        <x:f>IF(C126&lt;=$D$30*12,(1+$D$31)^(-C126/12),0)</x:f>
        <x:v>0</x:v>
      </x:c>
      <x:c r="E126" s="3" t="n">
        <x:f>IF(C126=MAX(1,ROUNDUP(MAX($D$27,$D$29),0)),$D$13*($D$22+$D$24)*1000000*D126,0)</x:f>
        <x:v>0</x:v>
      </x:c>
      <x:c r="F126" s="3" t="n">
        <x:f>IF(C126=MAX(1,ROUNDUP(MAX($D$28,$D$29),0)),$D$13*($D$23+$D$25)*1000000*D126,0)</x:f>
        <x:v>0</x:v>
      </x:c>
      <x:c r="G126" s="3" t="n">
        <x:f>IF(C126&gt;MAX($D$27,$D$29),(($D$13*(1-$D$14)/(1+$D$26))*$D$15*$D$16)*8760/12*($D$17*$D$18/1000+$D$20)*D126,0)</x:f>
        <x:v>0</x:v>
      </x:c>
      <x:c r="H126" s="1" t="n">
        <x:f>IF(C126&gt;MAX($D$28,$D$29),(($D$13*(1-$D$14)/(1+$D$26))*$D$15*$D$16)*8760/12*($D$17*$D$19/1000+$D$21)*D126,0)</x:f>
        <x:v>0</x:v>
      </x:c>
      <x:c r="I126" s="1" t="n">
        <x:f>IF(C126&gt;MAX($D$27,$D$29),(($D$13*(1-$D$14)/(1+$D$26))*$D$15*$D$16)*D126,0)</x:f>
        <x:v>0</x:v>
      </x:c>
      <x:c r="J126" s="1" t="n">
        <x:f>IF(C126&gt;MAX($D$28,$D$29),(($D$13*(1-$D$14)/(1+$D$26))*$D$15*$D$16)*D126,0)</x:f>
        <x:v>0</x:v>
      </x:c>
      <x:c r="K126" s="1" t="n">
        <x:f>IF(C126&gt;MAX($D$33,$D$29),(($D$13*(1-$D$14)/(1+$D$26))*$D$15*$D$16)*8760/12*$D$34*D126,0)</x:f>
        <x:v>0</x:v>
      </x:c>
      <x:c r="L126" s="1" t="n">
        <x:f>IF(C126&gt;MAX($D$33,$D$29),(($D$13*(1-$D$14)/(1+$D$26))*$D$15*$D$16)*D126,0)</x:f>
        <x:v>0</x:v>
      </x:c>
    </x:row>
    <x:row r="127" ht="22" customHeight="1">
      <x:c r="C127" s="1" t="n">
        <x:v>87</x:v>
      </x:c>
      <x:c r="D127" s="3" t="n">
        <x:f>IF(C127&lt;=$D$30*12,(1+$D$31)^(-C127/12),0)</x:f>
        <x:v>0</x:v>
      </x:c>
      <x:c r="E127" s="3" t="n">
        <x:f>IF(C127=MAX(1,ROUNDUP(MAX($D$27,$D$29),0)),$D$13*($D$22+$D$24)*1000000*D127,0)</x:f>
        <x:v>0</x:v>
      </x:c>
      <x:c r="F127" s="3" t="n">
        <x:f>IF(C127=MAX(1,ROUNDUP(MAX($D$28,$D$29),0)),$D$13*($D$23+$D$25)*1000000*D127,0)</x:f>
        <x:v>0</x:v>
      </x:c>
      <x:c r="G127" s="3" t="n">
        <x:f>IF(C127&gt;MAX($D$27,$D$29),(($D$13*(1-$D$14)/(1+$D$26))*$D$15*$D$16)*8760/12*($D$17*$D$18/1000+$D$20)*D127,0)</x:f>
        <x:v>0</x:v>
      </x:c>
      <x:c r="H127" s="1" t="n">
        <x:f>IF(C127&gt;MAX($D$28,$D$29),(($D$13*(1-$D$14)/(1+$D$26))*$D$15*$D$16)*8760/12*($D$17*$D$19/1000+$D$21)*D127,0)</x:f>
        <x:v>0</x:v>
      </x:c>
      <x:c r="I127" s="1" t="n">
        <x:f>IF(C127&gt;MAX($D$27,$D$29),(($D$13*(1-$D$14)/(1+$D$26))*$D$15*$D$16)*D127,0)</x:f>
        <x:v>0</x:v>
      </x:c>
      <x:c r="J127" s="1" t="n">
        <x:f>IF(C127&gt;MAX($D$28,$D$29),(($D$13*(1-$D$14)/(1+$D$26))*$D$15*$D$16)*D127,0)</x:f>
        <x:v>0</x:v>
      </x:c>
      <x:c r="K127" s="1" t="n">
        <x:f>IF(C127&gt;MAX($D$33,$D$29),(($D$13*(1-$D$14)/(1+$D$26))*$D$15*$D$16)*8760/12*$D$34*D127,0)</x:f>
        <x:v>0</x:v>
      </x:c>
      <x:c r="L127" s="1" t="n">
        <x:f>IF(C127&gt;MAX($D$33,$D$29),(($D$13*(1-$D$14)/(1+$D$26))*$D$15*$D$16)*D127,0)</x:f>
        <x:v>0</x:v>
      </x:c>
    </x:row>
    <x:row r="128" ht="22" customHeight="1">
      <x:c r="C128" s="1" t="n">
        <x:v>88</x:v>
      </x:c>
      <x:c r="D128" s="3" t="n">
        <x:f>IF(C128&lt;=$D$30*12,(1+$D$31)^(-C128/12),0)</x:f>
        <x:v>0</x:v>
      </x:c>
      <x:c r="E128" s="3" t="n">
        <x:f>IF(C128=MAX(1,ROUNDUP(MAX($D$27,$D$29),0)),$D$13*($D$22+$D$24)*1000000*D128,0)</x:f>
        <x:v>0</x:v>
      </x:c>
      <x:c r="F128" s="3" t="n">
        <x:f>IF(C128=MAX(1,ROUNDUP(MAX($D$28,$D$29),0)),$D$13*($D$23+$D$25)*1000000*D128,0)</x:f>
        <x:v>0</x:v>
      </x:c>
      <x:c r="G128" s="3" t="n">
        <x:f>IF(C128&gt;MAX($D$27,$D$29),(($D$13*(1-$D$14)/(1+$D$26))*$D$15*$D$16)*8760/12*($D$17*$D$18/1000+$D$20)*D128,0)</x:f>
        <x:v>0</x:v>
      </x:c>
      <x:c r="H128" s="1" t="n">
        <x:f>IF(C128&gt;MAX($D$28,$D$29),(($D$13*(1-$D$14)/(1+$D$26))*$D$15*$D$16)*8760/12*($D$17*$D$19/1000+$D$21)*D128,0)</x:f>
        <x:v>0</x:v>
      </x:c>
      <x:c r="I128" s="1" t="n">
        <x:f>IF(C128&gt;MAX($D$27,$D$29),(($D$13*(1-$D$14)/(1+$D$26))*$D$15*$D$16)*D128,0)</x:f>
        <x:v>0</x:v>
      </x:c>
      <x:c r="J128" s="1" t="n">
        <x:f>IF(C128&gt;MAX($D$28,$D$29),(($D$13*(1-$D$14)/(1+$D$26))*$D$15*$D$16)*D128,0)</x:f>
        <x:v>0</x:v>
      </x:c>
      <x:c r="K128" s="1" t="n">
        <x:f>IF(C128&gt;MAX($D$33,$D$29),(($D$13*(1-$D$14)/(1+$D$26))*$D$15*$D$16)*8760/12*$D$34*D128,0)</x:f>
        <x:v>0</x:v>
      </x:c>
      <x:c r="L128" s="1" t="n">
        <x:f>IF(C128&gt;MAX($D$33,$D$29),(($D$13*(1-$D$14)/(1+$D$26))*$D$15*$D$16)*D128,0)</x:f>
        <x:v>0</x:v>
      </x:c>
    </x:row>
    <x:row r="129" ht="22" customHeight="1">
      <x:c r="C129" s="1" t="n">
        <x:v>89</x:v>
      </x:c>
      <x:c r="D129" s="3" t="n">
        <x:f>IF(C129&lt;=$D$30*12,(1+$D$31)^(-C129/12),0)</x:f>
        <x:v>0</x:v>
      </x:c>
      <x:c r="E129" s="3" t="n">
        <x:f>IF(C129=MAX(1,ROUNDUP(MAX($D$27,$D$29),0)),$D$13*($D$22+$D$24)*1000000*D129,0)</x:f>
        <x:v>0</x:v>
      </x:c>
      <x:c r="F129" s="3" t="n">
        <x:f>IF(C129=MAX(1,ROUNDUP(MAX($D$28,$D$29),0)),$D$13*($D$23+$D$25)*1000000*D129,0)</x:f>
        <x:v>0</x:v>
      </x:c>
      <x:c r="G129" s="3" t="n">
        <x:f>IF(C129&gt;MAX($D$27,$D$29),(($D$13*(1-$D$14)/(1+$D$26))*$D$15*$D$16)*8760/12*($D$17*$D$18/1000+$D$20)*D129,0)</x:f>
        <x:v>0</x:v>
      </x:c>
      <x:c r="H129" s="1" t="n">
        <x:f>IF(C129&gt;MAX($D$28,$D$29),(($D$13*(1-$D$14)/(1+$D$26))*$D$15*$D$16)*8760/12*($D$17*$D$19/1000+$D$21)*D129,0)</x:f>
        <x:v>0</x:v>
      </x:c>
      <x:c r="I129" s="1" t="n">
        <x:f>IF(C129&gt;MAX($D$27,$D$29),(($D$13*(1-$D$14)/(1+$D$26))*$D$15*$D$16)*D129,0)</x:f>
        <x:v>0</x:v>
      </x:c>
      <x:c r="J129" s="1" t="n">
        <x:f>IF(C129&gt;MAX($D$28,$D$29),(($D$13*(1-$D$14)/(1+$D$26))*$D$15*$D$16)*D129,0)</x:f>
        <x:v>0</x:v>
      </x:c>
      <x:c r="K129" s="1" t="n">
        <x:f>IF(C129&gt;MAX($D$33,$D$29),(($D$13*(1-$D$14)/(1+$D$26))*$D$15*$D$16)*8760/12*$D$34*D129,0)</x:f>
        <x:v>0</x:v>
      </x:c>
      <x:c r="L129" s="1" t="n">
        <x:f>IF(C129&gt;MAX($D$33,$D$29),(($D$13*(1-$D$14)/(1+$D$26))*$D$15*$D$16)*D129,0)</x:f>
        <x:v>0</x:v>
      </x:c>
    </x:row>
    <x:row r="130" ht="22" customHeight="1">
      <x:c r="C130" s="1" t="n">
        <x:v>90</x:v>
      </x:c>
      <x:c r="D130" s="3" t="n">
        <x:f>IF(C130&lt;=$D$30*12,(1+$D$31)^(-C130/12),0)</x:f>
        <x:v>0</x:v>
      </x:c>
      <x:c r="E130" s="3" t="n">
        <x:f>IF(C130=MAX(1,ROUNDUP(MAX($D$27,$D$29),0)),$D$13*($D$22+$D$24)*1000000*D130,0)</x:f>
        <x:v>0</x:v>
      </x:c>
      <x:c r="F130" s="3" t="n">
        <x:f>IF(C130=MAX(1,ROUNDUP(MAX($D$28,$D$29),0)),$D$13*($D$23+$D$25)*1000000*D130,0)</x:f>
        <x:v>0</x:v>
      </x:c>
      <x:c r="G130" s="3" t="n">
        <x:f>IF(C130&gt;MAX($D$27,$D$29),(($D$13*(1-$D$14)/(1+$D$26))*$D$15*$D$16)*8760/12*($D$17*$D$18/1000+$D$20)*D130,0)</x:f>
        <x:v>0</x:v>
      </x:c>
      <x:c r="H130" s="1" t="n">
        <x:f>IF(C130&gt;MAX($D$28,$D$29),(($D$13*(1-$D$14)/(1+$D$26))*$D$15*$D$16)*8760/12*($D$17*$D$19/1000+$D$21)*D130,0)</x:f>
        <x:v>0</x:v>
      </x:c>
      <x:c r="I130" s="1" t="n">
        <x:f>IF(C130&gt;MAX($D$27,$D$29),(($D$13*(1-$D$14)/(1+$D$26))*$D$15*$D$16)*D130,0)</x:f>
        <x:v>0</x:v>
      </x:c>
      <x:c r="J130" s="1" t="n">
        <x:f>IF(C130&gt;MAX($D$28,$D$29),(($D$13*(1-$D$14)/(1+$D$26))*$D$15*$D$16)*D130,0)</x:f>
        <x:v>0</x:v>
      </x:c>
      <x:c r="K130" s="1" t="n">
        <x:f>IF(C130&gt;MAX($D$33,$D$29),(($D$13*(1-$D$14)/(1+$D$26))*$D$15*$D$16)*8760/12*$D$34*D130,0)</x:f>
        <x:v>0</x:v>
      </x:c>
      <x:c r="L130" s="1" t="n">
        <x:f>IF(C130&gt;MAX($D$33,$D$29),(($D$13*(1-$D$14)/(1+$D$26))*$D$15*$D$16)*D130,0)</x:f>
        <x:v>0</x:v>
      </x:c>
    </x:row>
    <x:row r="131" ht="22" customHeight="1">
      <x:c r="C131" s="1" t="n">
        <x:v>91</x:v>
      </x:c>
      <x:c r="D131" s="3" t="n">
        <x:f>IF(C131&lt;=$D$30*12,(1+$D$31)^(-C131/12),0)</x:f>
        <x:v>0</x:v>
      </x:c>
      <x:c r="E131" s="3" t="n">
        <x:f>IF(C131=MAX(1,ROUNDUP(MAX($D$27,$D$29),0)),$D$13*($D$22+$D$24)*1000000*D131,0)</x:f>
        <x:v>0</x:v>
      </x:c>
      <x:c r="F131" s="3" t="n">
        <x:f>IF(C131=MAX(1,ROUNDUP(MAX($D$28,$D$29),0)),$D$13*($D$23+$D$25)*1000000*D131,0)</x:f>
        <x:v>0</x:v>
      </x:c>
      <x:c r="G131" s="3" t="n">
        <x:f>IF(C131&gt;MAX($D$27,$D$29),(($D$13*(1-$D$14)/(1+$D$26))*$D$15*$D$16)*8760/12*($D$17*$D$18/1000+$D$20)*D131,0)</x:f>
        <x:v>0</x:v>
      </x:c>
      <x:c r="H131" s="1" t="n">
        <x:f>IF(C131&gt;MAX($D$28,$D$29),(($D$13*(1-$D$14)/(1+$D$26))*$D$15*$D$16)*8760/12*($D$17*$D$19/1000+$D$21)*D131,0)</x:f>
        <x:v>0</x:v>
      </x:c>
      <x:c r="I131" s="1" t="n">
        <x:f>IF(C131&gt;MAX($D$27,$D$29),(($D$13*(1-$D$14)/(1+$D$26))*$D$15*$D$16)*D131,0)</x:f>
        <x:v>0</x:v>
      </x:c>
      <x:c r="J131" s="1" t="n">
        <x:f>IF(C131&gt;MAX($D$28,$D$29),(($D$13*(1-$D$14)/(1+$D$26))*$D$15*$D$16)*D131,0)</x:f>
        <x:v>0</x:v>
      </x:c>
      <x:c r="K131" s="1" t="n">
        <x:f>IF(C131&gt;MAX($D$33,$D$29),(($D$13*(1-$D$14)/(1+$D$26))*$D$15*$D$16)*8760/12*$D$34*D131,0)</x:f>
        <x:v>0</x:v>
      </x:c>
      <x:c r="L131" s="1" t="n">
        <x:f>IF(C131&gt;MAX($D$33,$D$29),(($D$13*(1-$D$14)/(1+$D$26))*$D$15*$D$16)*D131,0)</x:f>
        <x:v>0</x:v>
      </x:c>
    </x:row>
    <x:row r="132" ht="22" customHeight="1">
      <x:c r="C132" s="1" t="n">
        <x:v>92</x:v>
      </x:c>
      <x:c r="D132" s="3" t="n">
        <x:f>IF(C132&lt;=$D$30*12,(1+$D$31)^(-C132/12),0)</x:f>
        <x:v>0</x:v>
      </x:c>
      <x:c r="E132" s="3" t="n">
        <x:f>IF(C132=MAX(1,ROUNDUP(MAX($D$27,$D$29),0)),$D$13*($D$22+$D$24)*1000000*D132,0)</x:f>
        <x:v>0</x:v>
      </x:c>
      <x:c r="F132" s="3" t="n">
        <x:f>IF(C132=MAX(1,ROUNDUP(MAX($D$28,$D$29),0)),$D$13*($D$23+$D$25)*1000000*D132,0)</x:f>
        <x:v>0</x:v>
      </x:c>
      <x:c r="G132" s="3" t="n">
        <x:f>IF(C132&gt;MAX($D$27,$D$29),(($D$13*(1-$D$14)/(1+$D$26))*$D$15*$D$16)*8760/12*($D$17*$D$18/1000+$D$20)*D132,0)</x:f>
        <x:v>0</x:v>
      </x:c>
      <x:c r="H132" s="1" t="n">
        <x:f>IF(C132&gt;MAX($D$28,$D$29),(($D$13*(1-$D$14)/(1+$D$26))*$D$15*$D$16)*8760/12*($D$17*$D$19/1000+$D$21)*D132,0)</x:f>
        <x:v>0</x:v>
      </x:c>
      <x:c r="I132" s="1" t="n">
        <x:f>IF(C132&gt;MAX($D$27,$D$29),(($D$13*(1-$D$14)/(1+$D$26))*$D$15*$D$16)*D132,0)</x:f>
        <x:v>0</x:v>
      </x:c>
      <x:c r="J132" s="1" t="n">
        <x:f>IF(C132&gt;MAX($D$28,$D$29),(($D$13*(1-$D$14)/(1+$D$26))*$D$15*$D$16)*D132,0)</x:f>
        <x:v>0</x:v>
      </x:c>
      <x:c r="K132" s="1" t="n">
        <x:f>IF(C132&gt;MAX($D$33,$D$29),(($D$13*(1-$D$14)/(1+$D$26))*$D$15*$D$16)*8760/12*$D$34*D132,0)</x:f>
        <x:v>0</x:v>
      </x:c>
      <x:c r="L132" s="1" t="n">
        <x:f>IF(C132&gt;MAX($D$33,$D$29),(($D$13*(1-$D$14)/(1+$D$26))*$D$15*$D$16)*D132,0)</x:f>
        <x:v>0</x:v>
      </x:c>
    </x:row>
    <x:row r="133" ht="22" customHeight="1">
      <x:c r="C133" s="1" t="n">
        <x:v>93</x:v>
      </x:c>
      <x:c r="D133" s="3" t="n">
        <x:f>IF(C133&lt;=$D$30*12,(1+$D$31)^(-C133/12),0)</x:f>
        <x:v>0</x:v>
      </x:c>
      <x:c r="E133" s="3" t="n">
        <x:f>IF(C133=MAX(1,ROUNDUP(MAX($D$27,$D$29),0)),$D$13*($D$22+$D$24)*1000000*D133,0)</x:f>
        <x:v>0</x:v>
      </x:c>
      <x:c r="F133" s="3" t="n">
        <x:f>IF(C133=MAX(1,ROUNDUP(MAX($D$28,$D$29),0)),$D$13*($D$23+$D$25)*1000000*D133,0)</x:f>
        <x:v>0</x:v>
      </x:c>
      <x:c r="G133" s="3" t="n">
        <x:f>IF(C133&gt;MAX($D$27,$D$29),(($D$13*(1-$D$14)/(1+$D$26))*$D$15*$D$16)*8760/12*($D$17*$D$18/1000+$D$20)*D133,0)</x:f>
        <x:v>0</x:v>
      </x:c>
      <x:c r="H133" s="1" t="n">
        <x:f>IF(C133&gt;MAX($D$28,$D$29),(($D$13*(1-$D$14)/(1+$D$26))*$D$15*$D$16)*8760/12*($D$17*$D$19/1000+$D$21)*D133,0)</x:f>
        <x:v>0</x:v>
      </x:c>
      <x:c r="I133" s="1" t="n">
        <x:f>IF(C133&gt;MAX($D$27,$D$29),(($D$13*(1-$D$14)/(1+$D$26))*$D$15*$D$16)*D133,0)</x:f>
        <x:v>0</x:v>
      </x:c>
      <x:c r="J133" s="1" t="n">
        <x:f>IF(C133&gt;MAX($D$28,$D$29),(($D$13*(1-$D$14)/(1+$D$26))*$D$15*$D$16)*D133,0)</x:f>
        <x:v>0</x:v>
      </x:c>
      <x:c r="K133" s="1" t="n">
        <x:f>IF(C133&gt;MAX($D$33,$D$29),(($D$13*(1-$D$14)/(1+$D$26))*$D$15*$D$16)*8760/12*$D$34*D133,0)</x:f>
        <x:v>0</x:v>
      </x:c>
      <x:c r="L133" s="1" t="n">
        <x:f>IF(C133&gt;MAX($D$33,$D$29),(($D$13*(1-$D$14)/(1+$D$26))*$D$15*$D$16)*D133,0)</x:f>
        <x:v>0</x:v>
      </x:c>
    </x:row>
    <x:row r="134" ht="22" customHeight="1">
      <x:c r="C134" s="1" t="n">
        <x:v>94</x:v>
      </x:c>
      <x:c r="D134" s="3" t="n">
        <x:f>IF(C134&lt;=$D$30*12,(1+$D$31)^(-C134/12),0)</x:f>
        <x:v>0</x:v>
      </x:c>
      <x:c r="E134" s="3" t="n">
        <x:f>IF(C134=MAX(1,ROUNDUP(MAX($D$27,$D$29),0)),$D$13*($D$22+$D$24)*1000000*D134,0)</x:f>
        <x:v>0</x:v>
      </x:c>
      <x:c r="F134" s="3" t="n">
        <x:f>IF(C134=MAX(1,ROUNDUP(MAX($D$28,$D$29),0)),$D$13*($D$23+$D$25)*1000000*D134,0)</x:f>
        <x:v>0</x:v>
      </x:c>
      <x:c r="G134" s="3" t="n">
        <x:f>IF(C134&gt;MAX($D$27,$D$29),(($D$13*(1-$D$14)/(1+$D$26))*$D$15*$D$16)*8760/12*($D$17*$D$18/1000+$D$20)*D134,0)</x:f>
        <x:v>0</x:v>
      </x:c>
      <x:c r="H134" s="1" t="n">
        <x:f>IF(C134&gt;MAX($D$28,$D$29),(($D$13*(1-$D$14)/(1+$D$26))*$D$15*$D$16)*8760/12*($D$17*$D$19/1000+$D$21)*D134,0)</x:f>
        <x:v>0</x:v>
      </x:c>
      <x:c r="I134" s="1" t="n">
        <x:f>IF(C134&gt;MAX($D$27,$D$29),(($D$13*(1-$D$14)/(1+$D$26))*$D$15*$D$16)*D134,0)</x:f>
        <x:v>0</x:v>
      </x:c>
      <x:c r="J134" s="1" t="n">
        <x:f>IF(C134&gt;MAX($D$28,$D$29),(($D$13*(1-$D$14)/(1+$D$26))*$D$15*$D$16)*D134,0)</x:f>
        <x:v>0</x:v>
      </x:c>
      <x:c r="K134" s="1" t="n">
        <x:f>IF(C134&gt;MAX($D$33,$D$29),(($D$13*(1-$D$14)/(1+$D$26))*$D$15*$D$16)*8760/12*$D$34*D134,0)</x:f>
        <x:v>0</x:v>
      </x:c>
      <x:c r="L134" s="1" t="n">
        <x:f>IF(C134&gt;MAX($D$33,$D$29),(($D$13*(1-$D$14)/(1+$D$26))*$D$15*$D$16)*D134,0)</x:f>
        <x:v>0</x:v>
      </x:c>
    </x:row>
    <x:row r="135" ht="22" customHeight="1">
      <x:c r="C135" s="1" t="n">
        <x:v>95</x:v>
      </x:c>
      <x:c r="D135" s="3" t="n">
        <x:f>IF(C135&lt;=$D$30*12,(1+$D$31)^(-C135/12),0)</x:f>
        <x:v>0</x:v>
      </x:c>
      <x:c r="E135" s="3" t="n">
        <x:f>IF(C135=MAX(1,ROUNDUP(MAX($D$27,$D$29),0)),$D$13*($D$22+$D$24)*1000000*D135,0)</x:f>
        <x:v>0</x:v>
      </x:c>
      <x:c r="F135" s="3" t="n">
        <x:f>IF(C135=MAX(1,ROUNDUP(MAX($D$28,$D$29),0)),$D$13*($D$23+$D$25)*1000000*D135,0)</x:f>
        <x:v>0</x:v>
      </x:c>
      <x:c r="G135" s="3" t="n">
        <x:f>IF(C135&gt;MAX($D$27,$D$29),(($D$13*(1-$D$14)/(1+$D$26))*$D$15*$D$16)*8760/12*($D$17*$D$18/1000+$D$20)*D135,0)</x:f>
        <x:v>0</x:v>
      </x:c>
      <x:c r="H135" s="1" t="n">
        <x:f>IF(C135&gt;MAX($D$28,$D$29),(($D$13*(1-$D$14)/(1+$D$26))*$D$15*$D$16)*8760/12*($D$17*$D$19/1000+$D$21)*D135,0)</x:f>
        <x:v>0</x:v>
      </x:c>
      <x:c r="I135" s="1" t="n">
        <x:f>IF(C135&gt;MAX($D$27,$D$29),(($D$13*(1-$D$14)/(1+$D$26))*$D$15*$D$16)*D135,0)</x:f>
        <x:v>0</x:v>
      </x:c>
      <x:c r="J135" s="1" t="n">
        <x:f>IF(C135&gt;MAX($D$28,$D$29),(($D$13*(1-$D$14)/(1+$D$26))*$D$15*$D$16)*D135,0)</x:f>
        <x:v>0</x:v>
      </x:c>
      <x:c r="K135" s="1" t="n">
        <x:f>IF(C135&gt;MAX($D$33,$D$29),(($D$13*(1-$D$14)/(1+$D$26))*$D$15*$D$16)*8760/12*$D$34*D135,0)</x:f>
        <x:v>0</x:v>
      </x:c>
      <x:c r="L135" s="1" t="n">
        <x:f>IF(C135&gt;MAX($D$33,$D$29),(($D$13*(1-$D$14)/(1+$D$26))*$D$15*$D$16)*D135,0)</x:f>
        <x:v>0</x:v>
      </x:c>
    </x:row>
    <x:row r="136" ht="22" customHeight="1">
      <x:c r="C136" s="1" t="n">
        <x:v>96</x:v>
      </x:c>
      <x:c r="D136" s="3" t="n">
        <x:f>IF(C136&lt;=$D$30*12,(1+$D$31)^(-C136/12),0)</x:f>
        <x:v>0</x:v>
      </x:c>
      <x:c r="E136" s="3" t="n">
        <x:f>IF(C136=MAX(1,ROUNDUP(MAX($D$27,$D$29),0)),$D$13*($D$22+$D$24)*1000000*D136,0)</x:f>
        <x:v>0</x:v>
      </x:c>
      <x:c r="F136" s="3" t="n">
        <x:f>IF(C136=MAX(1,ROUNDUP(MAX($D$28,$D$29),0)),$D$13*($D$23+$D$25)*1000000*D136,0)</x:f>
        <x:v>0</x:v>
      </x:c>
      <x:c r="G136" s="3" t="n">
        <x:f>IF(C136&gt;MAX($D$27,$D$29),(($D$13*(1-$D$14)/(1+$D$26))*$D$15*$D$16)*8760/12*($D$17*$D$18/1000+$D$20)*D136,0)</x:f>
        <x:v>0</x:v>
      </x:c>
      <x:c r="H136" s="1" t="n">
        <x:f>IF(C136&gt;MAX($D$28,$D$29),(($D$13*(1-$D$14)/(1+$D$26))*$D$15*$D$16)*8760/12*($D$17*$D$19/1000+$D$21)*D136,0)</x:f>
        <x:v>0</x:v>
      </x:c>
      <x:c r="I136" s="1" t="n">
        <x:f>IF(C136&gt;MAX($D$27,$D$29),(($D$13*(1-$D$14)/(1+$D$26))*$D$15*$D$16)*D136,0)</x:f>
        <x:v>0</x:v>
      </x:c>
      <x:c r="J136" s="1" t="n">
        <x:f>IF(C136&gt;MAX($D$28,$D$29),(($D$13*(1-$D$14)/(1+$D$26))*$D$15*$D$16)*D136,0)</x:f>
        <x:v>0</x:v>
      </x:c>
      <x:c r="K136" s="1" t="n">
        <x:f>IF(C136&gt;MAX($D$33,$D$29),(($D$13*(1-$D$14)/(1+$D$26))*$D$15*$D$16)*8760/12*$D$34*D136,0)</x:f>
        <x:v>0</x:v>
      </x:c>
      <x:c r="L136" s="1" t="n">
        <x:f>IF(C136&gt;MAX($D$33,$D$29),(($D$13*(1-$D$14)/(1+$D$26))*$D$15*$D$16)*D136,0)</x:f>
        <x:v>0</x:v>
      </x:c>
    </x:row>
    <x:row r="137" ht="22" customHeight="1">
      <x:c r="C137" s="1" t="n">
        <x:v>97</x:v>
      </x:c>
      <x:c r="D137" s="3" t="n">
        <x:f>IF(C137&lt;=$D$30*12,(1+$D$31)^(-C137/12),0)</x:f>
        <x:v>0</x:v>
      </x:c>
      <x:c r="E137" s="3" t="n">
        <x:f>IF(C137=MAX(1,ROUNDUP(MAX($D$27,$D$29),0)),$D$13*($D$22+$D$24)*1000000*D137,0)</x:f>
        <x:v>0</x:v>
      </x:c>
      <x:c r="F137" s="3" t="n">
        <x:f>IF(C137=MAX(1,ROUNDUP(MAX($D$28,$D$29),0)),$D$13*($D$23+$D$25)*1000000*D137,0)</x:f>
        <x:v>0</x:v>
      </x:c>
      <x:c r="G137" s="3" t="n">
        <x:f>IF(C137&gt;MAX($D$27,$D$29),(($D$13*(1-$D$14)/(1+$D$26))*$D$15*$D$16)*8760/12*($D$17*$D$18/1000+$D$20)*D137,0)</x:f>
        <x:v>0</x:v>
      </x:c>
      <x:c r="H137" s="1" t="n">
        <x:f>IF(C137&gt;MAX($D$28,$D$29),(($D$13*(1-$D$14)/(1+$D$26))*$D$15*$D$16)*8760/12*($D$17*$D$19/1000+$D$21)*D137,0)</x:f>
        <x:v>0</x:v>
      </x:c>
      <x:c r="I137" s="1" t="n">
        <x:f>IF(C137&gt;MAX($D$27,$D$29),(($D$13*(1-$D$14)/(1+$D$26))*$D$15*$D$16)*D137,0)</x:f>
        <x:v>0</x:v>
      </x:c>
      <x:c r="J137" s="1" t="n">
        <x:f>IF(C137&gt;MAX($D$28,$D$29),(($D$13*(1-$D$14)/(1+$D$26))*$D$15*$D$16)*D137,0)</x:f>
        <x:v>0</x:v>
      </x:c>
      <x:c r="K137" s="1" t="n">
        <x:f>IF(C137&gt;MAX($D$33,$D$29),(($D$13*(1-$D$14)/(1+$D$26))*$D$15*$D$16)*8760/12*$D$34*D137,0)</x:f>
        <x:v>0</x:v>
      </x:c>
      <x:c r="L137" s="1" t="n">
        <x:f>IF(C137&gt;MAX($D$33,$D$29),(($D$13*(1-$D$14)/(1+$D$26))*$D$15*$D$16)*D137,0)</x:f>
        <x:v>0</x:v>
      </x:c>
    </x:row>
    <x:row r="138" ht="22" customHeight="1">
      <x:c r="C138" s="1" t="n">
        <x:v>98</x:v>
      </x:c>
      <x:c r="D138" s="3" t="n">
        <x:f>IF(C138&lt;=$D$30*12,(1+$D$31)^(-C138/12),0)</x:f>
        <x:v>0</x:v>
      </x:c>
      <x:c r="E138" s="3" t="n">
        <x:f>IF(C138=MAX(1,ROUNDUP(MAX($D$27,$D$29),0)),$D$13*($D$22+$D$24)*1000000*D138,0)</x:f>
        <x:v>0</x:v>
      </x:c>
      <x:c r="F138" s="3" t="n">
        <x:f>IF(C138=MAX(1,ROUNDUP(MAX($D$28,$D$29),0)),$D$13*($D$23+$D$25)*1000000*D138,0)</x:f>
        <x:v>0</x:v>
      </x:c>
      <x:c r="G138" s="3" t="n">
        <x:f>IF(C138&gt;MAX($D$27,$D$29),(($D$13*(1-$D$14)/(1+$D$26))*$D$15*$D$16)*8760/12*($D$17*$D$18/1000+$D$20)*D138,0)</x:f>
        <x:v>0</x:v>
      </x:c>
      <x:c r="H138" s="1" t="n">
        <x:f>IF(C138&gt;MAX($D$28,$D$29),(($D$13*(1-$D$14)/(1+$D$26))*$D$15*$D$16)*8760/12*($D$17*$D$19/1000+$D$21)*D138,0)</x:f>
        <x:v>0</x:v>
      </x:c>
      <x:c r="I138" s="1" t="n">
        <x:f>IF(C138&gt;MAX($D$27,$D$29),(($D$13*(1-$D$14)/(1+$D$26))*$D$15*$D$16)*D138,0)</x:f>
        <x:v>0</x:v>
      </x:c>
      <x:c r="J138" s="1" t="n">
        <x:f>IF(C138&gt;MAX($D$28,$D$29),(($D$13*(1-$D$14)/(1+$D$26))*$D$15*$D$16)*D138,0)</x:f>
        <x:v>0</x:v>
      </x:c>
      <x:c r="K138" s="1" t="n">
        <x:f>IF(C138&gt;MAX($D$33,$D$29),(($D$13*(1-$D$14)/(1+$D$26))*$D$15*$D$16)*8760/12*$D$34*D138,0)</x:f>
        <x:v>0</x:v>
      </x:c>
      <x:c r="L138" s="1" t="n">
        <x:f>IF(C138&gt;MAX($D$33,$D$29),(($D$13*(1-$D$14)/(1+$D$26))*$D$15*$D$16)*D138,0)</x:f>
        <x:v>0</x:v>
      </x:c>
    </x:row>
    <x:row r="139" ht="22" customHeight="1">
      <x:c r="C139" s="1" t="n">
        <x:v>99</x:v>
      </x:c>
      <x:c r="D139" s="3" t="n">
        <x:f>IF(C139&lt;=$D$30*12,(1+$D$31)^(-C139/12),0)</x:f>
        <x:v>0</x:v>
      </x:c>
      <x:c r="E139" s="3" t="n">
        <x:f>IF(C139=MAX(1,ROUNDUP(MAX($D$27,$D$29),0)),$D$13*($D$22+$D$24)*1000000*D139,0)</x:f>
        <x:v>0</x:v>
      </x:c>
      <x:c r="F139" s="3" t="n">
        <x:f>IF(C139=MAX(1,ROUNDUP(MAX($D$28,$D$29),0)),$D$13*($D$23+$D$25)*1000000*D139,0)</x:f>
        <x:v>0</x:v>
      </x:c>
      <x:c r="G139" s="3" t="n">
        <x:f>IF(C139&gt;MAX($D$27,$D$29),(($D$13*(1-$D$14)/(1+$D$26))*$D$15*$D$16)*8760/12*($D$17*$D$18/1000+$D$20)*D139,0)</x:f>
        <x:v>0</x:v>
      </x:c>
      <x:c r="H139" s="1" t="n">
        <x:f>IF(C139&gt;MAX($D$28,$D$29),(($D$13*(1-$D$14)/(1+$D$26))*$D$15*$D$16)*8760/12*($D$17*$D$19/1000+$D$21)*D139,0)</x:f>
        <x:v>0</x:v>
      </x:c>
      <x:c r="I139" s="1" t="n">
        <x:f>IF(C139&gt;MAX($D$27,$D$29),(($D$13*(1-$D$14)/(1+$D$26))*$D$15*$D$16)*D139,0)</x:f>
        <x:v>0</x:v>
      </x:c>
      <x:c r="J139" s="1" t="n">
        <x:f>IF(C139&gt;MAX($D$28,$D$29),(($D$13*(1-$D$14)/(1+$D$26))*$D$15*$D$16)*D139,0)</x:f>
        <x:v>0</x:v>
      </x:c>
      <x:c r="K139" s="1" t="n">
        <x:f>IF(C139&gt;MAX($D$33,$D$29),(($D$13*(1-$D$14)/(1+$D$26))*$D$15*$D$16)*8760/12*$D$34*D139,0)</x:f>
        <x:v>0</x:v>
      </x:c>
      <x:c r="L139" s="1" t="n">
        <x:f>IF(C139&gt;MAX($D$33,$D$29),(($D$13*(1-$D$14)/(1+$D$26))*$D$15*$D$16)*D139,0)</x:f>
        <x:v>0</x:v>
      </x:c>
    </x:row>
    <x:row r="140" ht="22" customHeight="1">
      <x:c r="C140" s="1" t="n">
        <x:v>100</x:v>
      </x:c>
      <x:c r="D140" s="3" t="n">
        <x:f>IF(C140&lt;=$D$30*12,(1+$D$31)^(-C140/12),0)</x:f>
        <x:v>0</x:v>
      </x:c>
      <x:c r="E140" s="3" t="n">
        <x:f>IF(C140=MAX(1,ROUNDUP(MAX($D$27,$D$29),0)),$D$13*($D$22+$D$24)*1000000*D140,0)</x:f>
        <x:v>0</x:v>
      </x:c>
      <x:c r="F140" s="3" t="n">
        <x:f>IF(C140=MAX(1,ROUNDUP(MAX($D$28,$D$29),0)),$D$13*($D$23+$D$25)*1000000*D140,0)</x:f>
        <x:v>0</x:v>
      </x:c>
      <x:c r="G140" s="3" t="n">
        <x:f>IF(C140&gt;MAX($D$27,$D$29),(($D$13*(1-$D$14)/(1+$D$26))*$D$15*$D$16)*8760/12*($D$17*$D$18/1000+$D$20)*D140,0)</x:f>
        <x:v>0</x:v>
      </x:c>
      <x:c r="H140" s="1" t="n">
        <x:f>IF(C140&gt;MAX($D$28,$D$29),(($D$13*(1-$D$14)/(1+$D$26))*$D$15*$D$16)*8760/12*($D$17*$D$19/1000+$D$21)*D140,0)</x:f>
        <x:v>0</x:v>
      </x:c>
      <x:c r="I140" s="1" t="n">
        <x:f>IF(C140&gt;MAX($D$27,$D$29),(($D$13*(1-$D$14)/(1+$D$26))*$D$15*$D$16)*D140,0)</x:f>
        <x:v>0</x:v>
      </x:c>
      <x:c r="J140" s="1" t="n">
        <x:f>IF(C140&gt;MAX($D$28,$D$29),(($D$13*(1-$D$14)/(1+$D$26))*$D$15*$D$16)*D140,0)</x:f>
        <x:v>0</x:v>
      </x:c>
      <x:c r="K140" s="1" t="n">
        <x:f>IF(C140&gt;MAX($D$33,$D$29),(($D$13*(1-$D$14)/(1+$D$26))*$D$15*$D$16)*8760/12*$D$34*D140,0)</x:f>
        <x:v>0</x:v>
      </x:c>
      <x:c r="L140" s="1" t="n">
        <x:f>IF(C140&gt;MAX($D$33,$D$29),(($D$13*(1-$D$14)/(1+$D$26))*$D$15*$D$16)*D140,0)</x:f>
        <x:v>0</x:v>
      </x:c>
    </x:row>
    <x:row r="141" ht="22" customHeight="1">
      <x:c r="C141" s="1" t="n">
        <x:v>101</x:v>
      </x:c>
      <x:c r="D141" s="3" t="n">
        <x:f>IF(C141&lt;=$D$30*12,(1+$D$31)^(-C141/12),0)</x:f>
        <x:v>0</x:v>
      </x:c>
      <x:c r="E141" s="3" t="n">
        <x:f>IF(C141=MAX(1,ROUNDUP(MAX($D$27,$D$29),0)),$D$13*($D$22+$D$24)*1000000*D141,0)</x:f>
        <x:v>0</x:v>
      </x:c>
      <x:c r="F141" s="3" t="n">
        <x:f>IF(C141=MAX(1,ROUNDUP(MAX($D$28,$D$29),0)),$D$13*($D$23+$D$25)*1000000*D141,0)</x:f>
        <x:v>0</x:v>
      </x:c>
      <x:c r="G141" s="3" t="n">
        <x:f>IF(C141&gt;MAX($D$27,$D$29),(($D$13*(1-$D$14)/(1+$D$26))*$D$15*$D$16)*8760/12*($D$17*$D$18/1000+$D$20)*D141,0)</x:f>
        <x:v>0</x:v>
      </x:c>
      <x:c r="H141" s="1" t="n">
        <x:f>IF(C141&gt;MAX($D$28,$D$29),(($D$13*(1-$D$14)/(1+$D$26))*$D$15*$D$16)*8760/12*($D$17*$D$19/1000+$D$21)*D141,0)</x:f>
        <x:v>0</x:v>
      </x:c>
      <x:c r="I141" s="1" t="n">
        <x:f>IF(C141&gt;MAX($D$27,$D$29),(($D$13*(1-$D$14)/(1+$D$26))*$D$15*$D$16)*D141,0)</x:f>
        <x:v>0</x:v>
      </x:c>
      <x:c r="J141" s="1" t="n">
        <x:f>IF(C141&gt;MAX($D$28,$D$29),(($D$13*(1-$D$14)/(1+$D$26))*$D$15*$D$16)*D141,0)</x:f>
        <x:v>0</x:v>
      </x:c>
      <x:c r="K141" s="1" t="n">
        <x:f>IF(C141&gt;MAX($D$33,$D$29),(($D$13*(1-$D$14)/(1+$D$26))*$D$15*$D$16)*8760/12*$D$34*D141,0)</x:f>
        <x:v>0</x:v>
      </x:c>
      <x:c r="L141" s="1" t="n">
        <x:f>IF(C141&gt;MAX($D$33,$D$29),(($D$13*(1-$D$14)/(1+$D$26))*$D$15*$D$16)*D141,0)</x:f>
        <x:v>0</x:v>
      </x:c>
    </x:row>
    <x:row r="142" ht="22" customHeight="1">
      <x:c r="C142" s="1" t="n">
        <x:v>102</x:v>
      </x:c>
      <x:c r="D142" s="3" t="n">
        <x:f>IF(C142&lt;=$D$30*12,(1+$D$31)^(-C142/12),0)</x:f>
        <x:v>0</x:v>
      </x:c>
      <x:c r="E142" s="3" t="n">
        <x:f>IF(C142=MAX(1,ROUNDUP(MAX($D$27,$D$29),0)),$D$13*($D$22+$D$24)*1000000*D142,0)</x:f>
        <x:v>0</x:v>
      </x:c>
      <x:c r="F142" s="3" t="n">
        <x:f>IF(C142=MAX(1,ROUNDUP(MAX($D$28,$D$29),0)),$D$13*($D$23+$D$25)*1000000*D142,0)</x:f>
        <x:v>0</x:v>
      </x:c>
      <x:c r="G142" s="3" t="n">
        <x:f>IF(C142&gt;MAX($D$27,$D$29),(($D$13*(1-$D$14)/(1+$D$26))*$D$15*$D$16)*8760/12*($D$17*$D$18/1000+$D$20)*D142,0)</x:f>
        <x:v>0</x:v>
      </x:c>
      <x:c r="H142" s="1" t="n">
        <x:f>IF(C142&gt;MAX($D$28,$D$29),(($D$13*(1-$D$14)/(1+$D$26))*$D$15*$D$16)*8760/12*($D$17*$D$19/1000+$D$21)*D142,0)</x:f>
        <x:v>0</x:v>
      </x:c>
      <x:c r="I142" s="1" t="n">
        <x:f>IF(C142&gt;MAX($D$27,$D$29),(($D$13*(1-$D$14)/(1+$D$26))*$D$15*$D$16)*D142,0)</x:f>
        <x:v>0</x:v>
      </x:c>
      <x:c r="J142" s="1" t="n">
        <x:f>IF(C142&gt;MAX($D$28,$D$29),(($D$13*(1-$D$14)/(1+$D$26))*$D$15*$D$16)*D142,0)</x:f>
        <x:v>0</x:v>
      </x:c>
      <x:c r="K142" s="1" t="n">
        <x:f>IF(C142&gt;MAX($D$33,$D$29),(($D$13*(1-$D$14)/(1+$D$26))*$D$15*$D$16)*8760/12*$D$34*D142,0)</x:f>
        <x:v>0</x:v>
      </x:c>
      <x:c r="L142" s="1" t="n">
        <x:f>IF(C142&gt;MAX($D$33,$D$29),(($D$13*(1-$D$14)/(1+$D$26))*$D$15*$D$16)*D142,0)</x:f>
        <x:v>0</x:v>
      </x:c>
    </x:row>
    <x:row r="143" ht="22" customHeight="1">
      <x:c r="C143" s="1" t="n">
        <x:v>103</x:v>
      </x:c>
      <x:c r="D143" s="3" t="n">
        <x:f>IF(C143&lt;=$D$30*12,(1+$D$31)^(-C143/12),0)</x:f>
        <x:v>0</x:v>
      </x:c>
      <x:c r="E143" s="3" t="n">
        <x:f>IF(C143=MAX(1,ROUNDUP(MAX($D$27,$D$29),0)),$D$13*($D$22+$D$24)*1000000*D143,0)</x:f>
        <x:v>0</x:v>
      </x:c>
      <x:c r="F143" s="3" t="n">
        <x:f>IF(C143=MAX(1,ROUNDUP(MAX($D$28,$D$29),0)),$D$13*($D$23+$D$25)*1000000*D143,0)</x:f>
        <x:v>0</x:v>
      </x:c>
      <x:c r="G143" s="3" t="n">
        <x:f>IF(C143&gt;MAX($D$27,$D$29),(($D$13*(1-$D$14)/(1+$D$26))*$D$15*$D$16)*8760/12*($D$17*$D$18/1000+$D$20)*D143,0)</x:f>
        <x:v>0</x:v>
      </x:c>
      <x:c r="H143" s="1" t="n">
        <x:f>IF(C143&gt;MAX($D$28,$D$29),(($D$13*(1-$D$14)/(1+$D$26))*$D$15*$D$16)*8760/12*($D$17*$D$19/1000+$D$21)*D143,0)</x:f>
        <x:v>0</x:v>
      </x:c>
      <x:c r="I143" s="1" t="n">
        <x:f>IF(C143&gt;MAX($D$27,$D$29),(($D$13*(1-$D$14)/(1+$D$26))*$D$15*$D$16)*D143,0)</x:f>
        <x:v>0</x:v>
      </x:c>
      <x:c r="J143" s="1" t="n">
        <x:f>IF(C143&gt;MAX($D$28,$D$29),(($D$13*(1-$D$14)/(1+$D$26))*$D$15*$D$16)*D143,0)</x:f>
        <x:v>0</x:v>
      </x:c>
      <x:c r="K143" s="1" t="n">
        <x:f>IF(C143&gt;MAX($D$33,$D$29),(($D$13*(1-$D$14)/(1+$D$26))*$D$15*$D$16)*8760/12*$D$34*D143,0)</x:f>
        <x:v>0</x:v>
      </x:c>
      <x:c r="L143" s="1" t="n">
        <x:f>IF(C143&gt;MAX($D$33,$D$29),(($D$13*(1-$D$14)/(1+$D$26))*$D$15*$D$16)*D143,0)</x:f>
        <x:v>0</x:v>
      </x:c>
    </x:row>
    <x:row r="144" ht="22" customHeight="1">
      <x:c r="C144" s="1" t="n">
        <x:v>104</x:v>
      </x:c>
      <x:c r="D144" s="3" t="n">
        <x:f>IF(C144&lt;=$D$30*12,(1+$D$31)^(-C144/12),0)</x:f>
        <x:v>0</x:v>
      </x:c>
      <x:c r="E144" s="3" t="n">
        <x:f>IF(C144=MAX(1,ROUNDUP(MAX($D$27,$D$29),0)),$D$13*($D$22+$D$24)*1000000*D144,0)</x:f>
        <x:v>0</x:v>
      </x:c>
      <x:c r="F144" s="3" t="n">
        <x:f>IF(C144=MAX(1,ROUNDUP(MAX($D$28,$D$29),0)),$D$13*($D$23+$D$25)*1000000*D144,0)</x:f>
        <x:v>0</x:v>
      </x:c>
      <x:c r="G144" s="3" t="n">
        <x:f>IF(C144&gt;MAX($D$27,$D$29),(($D$13*(1-$D$14)/(1+$D$26))*$D$15*$D$16)*8760/12*($D$17*$D$18/1000+$D$20)*D144,0)</x:f>
        <x:v>0</x:v>
      </x:c>
      <x:c r="H144" s="1" t="n">
        <x:f>IF(C144&gt;MAX($D$28,$D$29),(($D$13*(1-$D$14)/(1+$D$26))*$D$15*$D$16)*8760/12*($D$17*$D$19/1000+$D$21)*D144,0)</x:f>
        <x:v>0</x:v>
      </x:c>
      <x:c r="I144" s="1" t="n">
        <x:f>IF(C144&gt;MAX($D$27,$D$29),(($D$13*(1-$D$14)/(1+$D$26))*$D$15*$D$16)*D144,0)</x:f>
        <x:v>0</x:v>
      </x:c>
      <x:c r="J144" s="1" t="n">
        <x:f>IF(C144&gt;MAX($D$28,$D$29),(($D$13*(1-$D$14)/(1+$D$26))*$D$15*$D$16)*D144,0)</x:f>
        <x:v>0</x:v>
      </x:c>
      <x:c r="K144" s="1" t="n">
        <x:f>IF(C144&gt;MAX($D$33,$D$29),(($D$13*(1-$D$14)/(1+$D$26))*$D$15*$D$16)*8760/12*$D$34*D144,0)</x:f>
        <x:v>0</x:v>
      </x:c>
      <x:c r="L144" s="1" t="n">
        <x:f>IF(C144&gt;MAX($D$33,$D$29),(($D$13*(1-$D$14)/(1+$D$26))*$D$15*$D$16)*D144,0)</x:f>
        <x:v>0</x:v>
      </x:c>
    </x:row>
    <x:row r="145" ht="22" customHeight="1">
      <x:c r="C145" s="1" t="n">
        <x:v>105</x:v>
      </x:c>
      <x:c r="D145" s="3" t="n">
        <x:f>IF(C145&lt;=$D$30*12,(1+$D$31)^(-C145/12),0)</x:f>
        <x:v>0</x:v>
      </x:c>
      <x:c r="E145" s="3" t="n">
        <x:f>IF(C145=MAX(1,ROUNDUP(MAX($D$27,$D$29),0)),$D$13*($D$22+$D$24)*1000000*D145,0)</x:f>
        <x:v>0</x:v>
      </x:c>
      <x:c r="F145" s="3" t="n">
        <x:f>IF(C145=MAX(1,ROUNDUP(MAX($D$28,$D$29),0)),$D$13*($D$23+$D$25)*1000000*D145,0)</x:f>
        <x:v>0</x:v>
      </x:c>
      <x:c r="G145" s="3" t="n">
        <x:f>IF(C145&gt;MAX($D$27,$D$29),(($D$13*(1-$D$14)/(1+$D$26))*$D$15*$D$16)*8760/12*($D$17*$D$18/1000+$D$20)*D145,0)</x:f>
        <x:v>0</x:v>
      </x:c>
      <x:c r="H145" s="1" t="n">
        <x:f>IF(C145&gt;MAX($D$28,$D$29),(($D$13*(1-$D$14)/(1+$D$26))*$D$15*$D$16)*8760/12*($D$17*$D$19/1000+$D$21)*D145,0)</x:f>
        <x:v>0</x:v>
      </x:c>
      <x:c r="I145" s="1" t="n">
        <x:f>IF(C145&gt;MAX($D$27,$D$29),(($D$13*(1-$D$14)/(1+$D$26))*$D$15*$D$16)*D145,0)</x:f>
        <x:v>0</x:v>
      </x:c>
      <x:c r="J145" s="1" t="n">
        <x:f>IF(C145&gt;MAX($D$28,$D$29),(($D$13*(1-$D$14)/(1+$D$26))*$D$15*$D$16)*D145,0)</x:f>
        <x:v>0</x:v>
      </x:c>
      <x:c r="K145" s="1" t="n">
        <x:f>IF(C145&gt;MAX($D$33,$D$29),(($D$13*(1-$D$14)/(1+$D$26))*$D$15*$D$16)*8760/12*$D$34*D145,0)</x:f>
        <x:v>0</x:v>
      </x:c>
      <x:c r="L145" s="1" t="n">
        <x:f>IF(C145&gt;MAX($D$33,$D$29),(($D$13*(1-$D$14)/(1+$D$26))*$D$15*$D$16)*D145,0)</x:f>
        <x:v>0</x:v>
      </x:c>
    </x:row>
    <x:row r="146" ht="22" customHeight="1">
      <x:c r="C146" s="1" t="n">
        <x:v>106</x:v>
      </x:c>
      <x:c r="D146" s="3" t="n">
        <x:f>IF(C146&lt;=$D$30*12,(1+$D$31)^(-C146/12),0)</x:f>
        <x:v>0</x:v>
      </x:c>
      <x:c r="E146" s="3" t="n">
        <x:f>IF(C146=MAX(1,ROUNDUP(MAX($D$27,$D$29),0)),$D$13*($D$22+$D$24)*1000000*D146,0)</x:f>
        <x:v>0</x:v>
      </x:c>
      <x:c r="F146" s="3" t="n">
        <x:f>IF(C146=MAX(1,ROUNDUP(MAX($D$28,$D$29),0)),$D$13*($D$23+$D$25)*1000000*D146,0)</x:f>
        <x:v>0</x:v>
      </x:c>
      <x:c r="G146" s="3" t="n">
        <x:f>IF(C146&gt;MAX($D$27,$D$29),(($D$13*(1-$D$14)/(1+$D$26))*$D$15*$D$16)*8760/12*($D$17*$D$18/1000+$D$20)*D146,0)</x:f>
        <x:v>0</x:v>
      </x:c>
      <x:c r="H146" s="1" t="n">
        <x:f>IF(C146&gt;MAX($D$28,$D$29),(($D$13*(1-$D$14)/(1+$D$26))*$D$15*$D$16)*8760/12*($D$17*$D$19/1000+$D$21)*D146,0)</x:f>
        <x:v>0</x:v>
      </x:c>
      <x:c r="I146" s="1" t="n">
        <x:f>IF(C146&gt;MAX($D$27,$D$29),(($D$13*(1-$D$14)/(1+$D$26))*$D$15*$D$16)*D146,0)</x:f>
        <x:v>0</x:v>
      </x:c>
      <x:c r="J146" s="1" t="n">
        <x:f>IF(C146&gt;MAX($D$28,$D$29),(($D$13*(1-$D$14)/(1+$D$26))*$D$15*$D$16)*D146,0)</x:f>
        <x:v>0</x:v>
      </x:c>
      <x:c r="K146" s="1" t="n">
        <x:f>IF(C146&gt;MAX($D$33,$D$29),(($D$13*(1-$D$14)/(1+$D$26))*$D$15*$D$16)*8760/12*$D$34*D146,0)</x:f>
        <x:v>0</x:v>
      </x:c>
      <x:c r="L146" s="1" t="n">
        <x:f>IF(C146&gt;MAX($D$33,$D$29),(($D$13*(1-$D$14)/(1+$D$26))*$D$15*$D$16)*D146,0)</x:f>
        <x:v>0</x:v>
      </x:c>
    </x:row>
    <x:row r="147" ht="22" customHeight="1">
      <x:c r="C147" s="1" t="n">
        <x:v>107</x:v>
      </x:c>
      <x:c r="D147" s="3" t="n">
        <x:f>IF(C147&lt;=$D$30*12,(1+$D$31)^(-C147/12),0)</x:f>
        <x:v>0</x:v>
      </x:c>
      <x:c r="E147" s="3" t="n">
        <x:f>IF(C147=MAX(1,ROUNDUP(MAX($D$27,$D$29),0)),$D$13*($D$22+$D$24)*1000000*D147,0)</x:f>
        <x:v>0</x:v>
      </x:c>
      <x:c r="F147" s="3" t="n">
        <x:f>IF(C147=MAX(1,ROUNDUP(MAX($D$28,$D$29),0)),$D$13*($D$23+$D$25)*1000000*D147,0)</x:f>
        <x:v>0</x:v>
      </x:c>
      <x:c r="G147" s="3" t="n">
        <x:f>IF(C147&gt;MAX($D$27,$D$29),(($D$13*(1-$D$14)/(1+$D$26))*$D$15*$D$16)*8760/12*($D$17*$D$18/1000+$D$20)*D147,0)</x:f>
        <x:v>0</x:v>
      </x:c>
      <x:c r="H147" s="1" t="n">
        <x:f>IF(C147&gt;MAX($D$28,$D$29),(($D$13*(1-$D$14)/(1+$D$26))*$D$15*$D$16)*8760/12*($D$17*$D$19/1000+$D$21)*D147,0)</x:f>
        <x:v>0</x:v>
      </x:c>
      <x:c r="I147" s="1" t="n">
        <x:f>IF(C147&gt;MAX($D$27,$D$29),(($D$13*(1-$D$14)/(1+$D$26))*$D$15*$D$16)*D147,0)</x:f>
        <x:v>0</x:v>
      </x:c>
      <x:c r="J147" s="1" t="n">
        <x:f>IF(C147&gt;MAX($D$28,$D$29),(($D$13*(1-$D$14)/(1+$D$26))*$D$15*$D$16)*D147,0)</x:f>
        <x:v>0</x:v>
      </x:c>
      <x:c r="K147" s="1" t="n">
        <x:f>IF(C147&gt;MAX($D$33,$D$29),(($D$13*(1-$D$14)/(1+$D$26))*$D$15*$D$16)*8760/12*$D$34*D147,0)</x:f>
        <x:v>0</x:v>
      </x:c>
      <x:c r="L147" s="1" t="n">
        <x:f>IF(C147&gt;MAX($D$33,$D$29),(($D$13*(1-$D$14)/(1+$D$26))*$D$15*$D$16)*D147,0)</x:f>
        <x:v>0</x:v>
      </x:c>
    </x:row>
    <x:row r="148" ht="22" customHeight="1">
      <x:c r="C148" s="1" t="n">
        <x:v>108</x:v>
      </x:c>
      <x:c r="D148" s="3" t="n">
        <x:f>IF(C148&lt;=$D$30*12,(1+$D$31)^(-C148/12),0)</x:f>
        <x:v>0</x:v>
      </x:c>
      <x:c r="E148" s="3" t="n">
        <x:f>IF(C148=MAX(1,ROUNDUP(MAX($D$27,$D$29),0)),$D$13*($D$22+$D$24)*1000000*D148,0)</x:f>
        <x:v>0</x:v>
      </x:c>
      <x:c r="F148" s="3" t="n">
        <x:f>IF(C148=MAX(1,ROUNDUP(MAX($D$28,$D$29),0)),$D$13*($D$23+$D$25)*1000000*D148,0)</x:f>
        <x:v>0</x:v>
      </x:c>
      <x:c r="G148" s="3" t="n">
        <x:f>IF(C148&gt;MAX($D$27,$D$29),(($D$13*(1-$D$14)/(1+$D$26))*$D$15*$D$16)*8760/12*($D$17*$D$18/1000+$D$20)*D148,0)</x:f>
        <x:v>0</x:v>
      </x:c>
      <x:c r="H148" s="1" t="n">
        <x:f>IF(C148&gt;MAX($D$28,$D$29),(($D$13*(1-$D$14)/(1+$D$26))*$D$15*$D$16)*8760/12*($D$17*$D$19/1000+$D$21)*D148,0)</x:f>
        <x:v>0</x:v>
      </x:c>
      <x:c r="I148" s="1" t="n">
        <x:f>IF(C148&gt;MAX($D$27,$D$29),(($D$13*(1-$D$14)/(1+$D$26))*$D$15*$D$16)*D148,0)</x:f>
        <x:v>0</x:v>
      </x:c>
      <x:c r="J148" s="1" t="n">
        <x:f>IF(C148&gt;MAX($D$28,$D$29),(($D$13*(1-$D$14)/(1+$D$26))*$D$15*$D$16)*D148,0)</x:f>
        <x:v>0</x:v>
      </x:c>
      <x:c r="K148" s="1" t="n">
        <x:f>IF(C148&gt;MAX($D$33,$D$29),(($D$13*(1-$D$14)/(1+$D$26))*$D$15*$D$16)*8760/12*$D$34*D148,0)</x:f>
        <x:v>0</x:v>
      </x:c>
      <x:c r="L148" s="1" t="n">
        <x:f>IF(C148&gt;MAX($D$33,$D$29),(($D$13*(1-$D$14)/(1+$D$26))*$D$15*$D$16)*D148,0)</x:f>
        <x:v>0</x:v>
      </x:c>
    </x:row>
    <x:row r="149" ht="22" customHeight="1">
      <x:c r="C149" s="1" t="n">
        <x:v>109</x:v>
      </x:c>
      <x:c r="D149" s="3" t="n">
        <x:f>IF(C149&lt;=$D$30*12,(1+$D$31)^(-C149/12),0)</x:f>
        <x:v>0</x:v>
      </x:c>
      <x:c r="E149" s="3" t="n">
        <x:f>IF(C149=MAX(1,ROUNDUP(MAX($D$27,$D$29),0)),$D$13*($D$22+$D$24)*1000000*D149,0)</x:f>
        <x:v>0</x:v>
      </x:c>
      <x:c r="F149" s="3" t="n">
        <x:f>IF(C149=MAX(1,ROUNDUP(MAX($D$28,$D$29),0)),$D$13*($D$23+$D$25)*1000000*D149,0)</x:f>
        <x:v>0</x:v>
      </x:c>
      <x:c r="G149" s="3" t="n">
        <x:f>IF(C149&gt;MAX($D$27,$D$29),(($D$13*(1-$D$14)/(1+$D$26))*$D$15*$D$16)*8760/12*($D$17*$D$18/1000+$D$20)*D149,0)</x:f>
        <x:v>0</x:v>
      </x:c>
      <x:c r="H149" s="1" t="n">
        <x:f>IF(C149&gt;MAX($D$28,$D$29),(($D$13*(1-$D$14)/(1+$D$26))*$D$15*$D$16)*8760/12*($D$17*$D$19/1000+$D$21)*D149,0)</x:f>
        <x:v>0</x:v>
      </x:c>
      <x:c r="I149" s="1" t="n">
        <x:f>IF(C149&gt;MAX($D$27,$D$29),(($D$13*(1-$D$14)/(1+$D$26))*$D$15*$D$16)*D149,0)</x:f>
        <x:v>0</x:v>
      </x:c>
      <x:c r="J149" s="1" t="n">
        <x:f>IF(C149&gt;MAX($D$28,$D$29),(($D$13*(1-$D$14)/(1+$D$26))*$D$15*$D$16)*D149,0)</x:f>
        <x:v>0</x:v>
      </x:c>
      <x:c r="K149" s="1" t="n">
        <x:f>IF(C149&gt;MAX($D$33,$D$29),(($D$13*(1-$D$14)/(1+$D$26))*$D$15*$D$16)*8760/12*$D$34*D149,0)</x:f>
        <x:v>0</x:v>
      </x:c>
      <x:c r="L149" s="1" t="n">
        <x:f>IF(C149&gt;MAX($D$33,$D$29),(($D$13*(1-$D$14)/(1+$D$26))*$D$15*$D$16)*D149,0)</x:f>
        <x:v>0</x:v>
      </x:c>
    </x:row>
    <x:row r="150" ht="22" customHeight="1">
      <x:c r="C150" s="1" t="n">
        <x:v>110</x:v>
      </x:c>
      <x:c r="D150" s="3" t="n">
        <x:f>IF(C150&lt;=$D$30*12,(1+$D$31)^(-C150/12),0)</x:f>
        <x:v>0</x:v>
      </x:c>
      <x:c r="E150" s="3" t="n">
        <x:f>IF(C150=MAX(1,ROUNDUP(MAX($D$27,$D$29),0)),$D$13*($D$22+$D$24)*1000000*D150,0)</x:f>
        <x:v>0</x:v>
      </x:c>
      <x:c r="F150" s="3" t="n">
        <x:f>IF(C150=MAX(1,ROUNDUP(MAX($D$28,$D$29),0)),$D$13*($D$23+$D$25)*1000000*D150,0)</x:f>
        <x:v>0</x:v>
      </x:c>
      <x:c r="G150" s="3" t="n">
        <x:f>IF(C150&gt;MAX($D$27,$D$29),(($D$13*(1-$D$14)/(1+$D$26))*$D$15*$D$16)*8760/12*($D$17*$D$18/1000+$D$20)*D150,0)</x:f>
        <x:v>0</x:v>
      </x:c>
      <x:c r="H150" s="1" t="n">
        <x:f>IF(C150&gt;MAX($D$28,$D$29),(($D$13*(1-$D$14)/(1+$D$26))*$D$15*$D$16)*8760/12*($D$17*$D$19/1000+$D$21)*D150,0)</x:f>
        <x:v>0</x:v>
      </x:c>
      <x:c r="I150" s="1" t="n">
        <x:f>IF(C150&gt;MAX($D$27,$D$29),(($D$13*(1-$D$14)/(1+$D$26))*$D$15*$D$16)*D150,0)</x:f>
        <x:v>0</x:v>
      </x:c>
      <x:c r="J150" s="1" t="n">
        <x:f>IF(C150&gt;MAX($D$28,$D$29),(($D$13*(1-$D$14)/(1+$D$26))*$D$15*$D$16)*D150,0)</x:f>
        <x:v>0</x:v>
      </x:c>
      <x:c r="K150" s="1" t="n">
        <x:f>IF(C150&gt;MAX($D$33,$D$29),(($D$13*(1-$D$14)/(1+$D$26))*$D$15*$D$16)*8760/12*$D$34*D150,0)</x:f>
        <x:v>0</x:v>
      </x:c>
      <x:c r="L150" s="1" t="n">
        <x:f>IF(C150&gt;MAX($D$33,$D$29),(($D$13*(1-$D$14)/(1+$D$26))*$D$15*$D$16)*D150,0)</x:f>
        <x:v>0</x:v>
      </x:c>
    </x:row>
    <x:row r="151" ht="22" customHeight="1">
      <x:c r="C151" s="1" t="n">
        <x:v>111</x:v>
      </x:c>
      <x:c r="D151" s="3" t="n">
        <x:f>IF(C151&lt;=$D$30*12,(1+$D$31)^(-C151/12),0)</x:f>
        <x:v>0</x:v>
      </x:c>
      <x:c r="E151" s="3" t="n">
        <x:f>IF(C151=MAX(1,ROUNDUP(MAX($D$27,$D$29),0)),$D$13*($D$22+$D$24)*1000000*D151,0)</x:f>
        <x:v>0</x:v>
      </x:c>
      <x:c r="F151" s="3" t="n">
        <x:f>IF(C151=MAX(1,ROUNDUP(MAX($D$28,$D$29),0)),$D$13*($D$23+$D$25)*1000000*D151,0)</x:f>
        <x:v>0</x:v>
      </x:c>
      <x:c r="G151" s="3" t="n">
        <x:f>IF(C151&gt;MAX($D$27,$D$29),(($D$13*(1-$D$14)/(1+$D$26))*$D$15*$D$16)*8760/12*($D$17*$D$18/1000+$D$20)*D151,0)</x:f>
        <x:v>0</x:v>
      </x:c>
      <x:c r="H151" s="1" t="n">
        <x:f>IF(C151&gt;MAX($D$28,$D$29),(($D$13*(1-$D$14)/(1+$D$26))*$D$15*$D$16)*8760/12*($D$17*$D$19/1000+$D$21)*D151,0)</x:f>
        <x:v>0</x:v>
      </x:c>
      <x:c r="I151" s="1" t="n">
        <x:f>IF(C151&gt;MAX($D$27,$D$29),(($D$13*(1-$D$14)/(1+$D$26))*$D$15*$D$16)*D151,0)</x:f>
        <x:v>0</x:v>
      </x:c>
      <x:c r="J151" s="1" t="n">
        <x:f>IF(C151&gt;MAX($D$28,$D$29),(($D$13*(1-$D$14)/(1+$D$26))*$D$15*$D$16)*D151,0)</x:f>
        <x:v>0</x:v>
      </x:c>
      <x:c r="K151" s="1" t="n">
        <x:f>IF(C151&gt;MAX($D$33,$D$29),(($D$13*(1-$D$14)/(1+$D$26))*$D$15*$D$16)*8760/12*$D$34*D151,0)</x:f>
        <x:v>0</x:v>
      </x:c>
      <x:c r="L151" s="1" t="n">
        <x:f>IF(C151&gt;MAX($D$33,$D$29),(($D$13*(1-$D$14)/(1+$D$26))*$D$15*$D$16)*D151,0)</x:f>
        <x:v>0</x:v>
      </x:c>
    </x:row>
    <x:row r="152" ht="22" customHeight="1">
      <x:c r="C152" s="1" t="n">
        <x:v>112</x:v>
      </x:c>
      <x:c r="D152" s="3" t="n">
        <x:f>IF(C152&lt;=$D$30*12,(1+$D$31)^(-C152/12),0)</x:f>
        <x:v>0</x:v>
      </x:c>
      <x:c r="E152" s="3" t="n">
        <x:f>IF(C152=MAX(1,ROUNDUP(MAX($D$27,$D$29),0)),$D$13*($D$22+$D$24)*1000000*D152,0)</x:f>
        <x:v>0</x:v>
      </x:c>
      <x:c r="F152" s="3" t="n">
        <x:f>IF(C152=MAX(1,ROUNDUP(MAX($D$28,$D$29),0)),$D$13*($D$23+$D$25)*1000000*D152,0)</x:f>
        <x:v>0</x:v>
      </x:c>
      <x:c r="G152" s="3" t="n">
        <x:f>IF(C152&gt;MAX($D$27,$D$29),(($D$13*(1-$D$14)/(1+$D$26))*$D$15*$D$16)*8760/12*($D$17*$D$18/1000+$D$20)*D152,0)</x:f>
        <x:v>0</x:v>
      </x:c>
      <x:c r="H152" s="1" t="n">
        <x:f>IF(C152&gt;MAX($D$28,$D$29),(($D$13*(1-$D$14)/(1+$D$26))*$D$15*$D$16)*8760/12*($D$17*$D$19/1000+$D$21)*D152,0)</x:f>
        <x:v>0</x:v>
      </x:c>
      <x:c r="I152" s="1" t="n">
        <x:f>IF(C152&gt;MAX($D$27,$D$29),(($D$13*(1-$D$14)/(1+$D$26))*$D$15*$D$16)*D152,0)</x:f>
        <x:v>0</x:v>
      </x:c>
      <x:c r="J152" s="1" t="n">
        <x:f>IF(C152&gt;MAX($D$28,$D$29),(($D$13*(1-$D$14)/(1+$D$26))*$D$15*$D$16)*D152,0)</x:f>
        <x:v>0</x:v>
      </x:c>
      <x:c r="K152" s="1" t="n">
        <x:f>IF(C152&gt;MAX($D$33,$D$29),(($D$13*(1-$D$14)/(1+$D$26))*$D$15*$D$16)*8760/12*$D$34*D152,0)</x:f>
        <x:v>0</x:v>
      </x:c>
      <x:c r="L152" s="1" t="n">
        <x:f>IF(C152&gt;MAX($D$33,$D$29),(($D$13*(1-$D$14)/(1+$D$26))*$D$15*$D$16)*D152,0)</x:f>
        <x:v>0</x:v>
      </x:c>
    </x:row>
    <x:row r="153" ht="22" customHeight="1">
      <x:c r="C153" s="1" t="n">
        <x:v>113</x:v>
      </x:c>
      <x:c r="D153" s="3" t="n">
        <x:f>IF(C153&lt;=$D$30*12,(1+$D$31)^(-C153/12),0)</x:f>
        <x:v>0</x:v>
      </x:c>
      <x:c r="E153" s="3" t="n">
        <x:f>IF(C153=MAX(1,ROUNDUP(MAX($D$27,$D$29),0)),$D$13*($D$22+$D$24)*1000000*D153,0)</x:f>
        <x:v>0</x:v>
      </x:c>
      <x:c r="F153" s="3" t="n">
        <x:f>IF(C153=MAX(1,ROUNDUP(MAX($D$28,$D$29),0)),$D$13*($D$23+$D$25)*1000000*D153,0)</x:f>
        <x:v>0</x:v>
      </x:c>
      <x:c r="G153" s="3" t="n">
        <x:f>IF(C153&gt;MAX($D$27,$D$29),(($D$13*(1-$D$14)/(1+$D$26))*$D$15*$D$16)*8760/12*($D$17*$D$18/1000+$D$20)*D153,0)</x:f>
        <x:v>0</x:v>
      </x:c>
      <x:c r="H153" s="1" t="n">
        <x:f>IF(C153&gt;MAX($D$28,$D$29),(($D$13*(1-$D$14)/(1+$D$26))*$D$15*$D$16)*8760/12*($D$17*$D$19/1000+$D$21)*D153,0)</x:f>
        <x:v>0</x:v>
      </x:c>
      <x:c r="I153" s="1" t="n">
        <x:f>IF(C153&gt;MAX($D$27,$D$29),(($D$13*(1-$D$14)/(1+$D$26))*$D$15*$D$16)*D153,0)</x:f>
        <x:v>0</x:v>
      </x:c>
      <x:c r="J153" s="1" t="n">
        <x:f>IF(C153&gt;MAX($D$28,$D$29),(($D$13*(1-$D$14)/(1+$D$26))*$D$15*$D$16)*D153,0)</x:f>
        <x:v>0</x:v>
      </x:c>
      <x:c r="K153" s="1" t="n">
        <x:f>IF(C153&gt;MAX($D$33,$D$29),(($D$13*(1-$D$14)/(1+$D$26))*$D$15*$D$16)*8760/12*$D$34*D153,0)</x:f>
        <x:v>0</x:v>
      </x:c>
      <x:c r="L153" s="1" t="n">
        <x:f>IF(C153&gt;MAX($D$33,$D$29),(($D$13*(1-$D$14)/(1+$D$26))*$D$15*$D$16)*D153,0)</x:f>
        <x:v>0</x:v>
      </x:c>
    </x:row>
    <x:row r="154" ht="22" customHeight="1">
      <x:c r="C154" s="1" t="n">
        <x:v>114</x:v>
      </x:c>
      <x:c r="D154" s="3" t="n">
        <x:f>IF(C154&lt;=$D$30*12,(1+$D$31)^(-C154/12),0)</x:f>
        <x:v>0</x:v>
      </x:c>
      <x:c r="E154" s="3" t="n">
        <x:f>IF(C154=MAX(1,ROUNDUP(MAX($D$27,$D$29),0)),$D$13*($D$22+$D$24)*1000000*D154,0)</x:f>
        <x:v>0</x:v>
      </x:c>
      <x:c r="F154" s="3" t="n">
        <x:f>IF(C154=MAX(1,ROUNDUP(MAX($D$28,$D$29),0)),$D$13*($D$23+$D$25)*1000000*D154,0)</x:f>
        <x:v>0</x:v>
      </x:c>
      <x:c r="G154" s="3" t="n">
        <x:f>IF(C154&gt;MAX($D$27,$D$29),(($D$13*(1-$D$14)/(1+$D$26))*$D$15*$D$16)*8760/12*($D$17*$D$18/1000+$D$20)*D154,0)</x:f>
        <x:v>0</x:v>
      </x:c>
      <x:c r="H154" s="1" t="n">
        <x:f>IF(C154&gt;MAX($D$28,$D$29),(($D$13*(1-$D$14)/(1+$D$26))*$D$15*$D$16)*8760/12*($D$17*$D$19/1000+$D$21)*D154,0)</x:f>
        <x:v>0</x:v>
      </x:c>
      <x:c r="I154" s="1" t="n">
        <x:f>IF(C154&gt;MAX($D$27,$D$29),(($D$13*(1-$D$14)/(1+$D$26))*$D$15*$D$16)*D154,0)</x:f>
        <x:v>0</x:v>
      </x:c>
      <x:c r="J154" s="1" t="n">
        <x:f>IF(C154&gt;MAX($D$28,$D$29),(($D$13*(1-$D$14)/(1+$D$26))*$D$15*$D$16)*D154,0)</x:f>
        <x:v>0</x:v>
      </x:c>
      <x:c r="K154" s="1" t="n">
        <x:f>IF(C154&gt;MAX($D$33,$D$29),(($D$13*(1-$D$14)/(1+$D$26))*$D$15*$D$16)*8760/12*$D$34*D154,0)</x:f>
        <x:v>0</x:v>
      </x:c>
      <x:c r="L154" s="1" t="n">
        <x:f>IF(C154&gt;MAX($D$33,$D$29),(($D$13*(1-$D$14)/(1+$D$26))*$D$15*$D$16)*D154,0)</x:f>
        <x:v>0</x:v>
      </x:c>
    </x:row>
    <x:row r="155" ht="22" customHeight="1">
      <x:c r="C155" s="1" t="n">
        <x:v>115</x:v>
      </x:c>
      <x:c r="D155" s="3" t="n">
        <x:f>IF(C155&lt;=$D$30*12,(1+$D$31)^(-C155/12),0)</x:f>
        <x:v>0</x:v>
      </x:c>
      <x:c r="E155" s="3" t="n">
        <x:f>IF(C155=MAX(1,ROUNDUP(MAX($D$27,$D$29),0)),$D$13*($D$22+$D$24)*1000000*D155,0)</x:f>
        <x:v>0</x:v>
      </x:c>
      <x:c r="F155" s="3" t="n">
        <x:f>IF(C155=MAX(1,ROUNDUP(MAX($D$28,$D$29),0)),$D$13*($D$23+$D$25)*1000000*D155,0)</x:f>
        <x:v>0</x:v>
      </x:c>
      <x:c r="G155" s="3" t="n">
        <x:f>IF(C155&gt;MAX($D$27,$D$29),(($D$13*(1-$D$14)/(1+$D$26))*$D$15*$D$16)*8760/12*($D$17*$D$18/1000+$D$20)*D155,0)</x:f>
        <x:v>0</x:v>
      </x:c>
      <x:c r="H155" s="1" t="n">
        <x:f>IF(C155&gt;MAX($D$28,$D$29),(($D$13*(1-$D$14)/(1+$D$26))*$D$15*$D$16)*8760/12*($D$17*$D$19/1000+$D$21)*D155,0)</x:f>
        <x:v>0</x:v>
      </x:c>
      <x:c r="I155" s="1" t="n">
        <x:f>IF(C155&gt;MAX($D$27,$D$29),(($D$13*(1-$D$14)/(1+$D$26))*$D$15*$D$16)*D155,0)</x:f>
        <x:v>0</x:v>
      </x:c>
      <x:c r="J155" s="1" t="n">
        <x:f>IF(C155&gt;MAX($D$28,$D$29),(($D$13*(1-$D$14)/(1+$D$26))*$D$15*$D$16)*D155,0)</x:f>
        <x:v>0</x:v>
      </x:c>
      <x:c r="K155" s="1" t="n">
        <x:f>IF(C155&gt;MAX($D$33,$D$29),(($D$13*(1-$D$14)/(1+$D$26))*$D$15*$D$16)*8760/12*$D$34*D155,0)</x:f>
        <x:v>0</x:v>
      </x:c>
      <x:c r="L155" s="1" t="n">
        <x:f>IF(C155&gt;MAX($D$33,$D$29),(($D$13*(1-$D$14)/(1+$D$26))*$D$15*$D$16)*D155,0)</x:f>
        <x:v>0</x:v>
      </x:c>
    </x:row>
    <x:row r="156" ht="22" customHeight="1">
      <x:c r="C156" s="1" t="n">
        <x:v>116</x:v>
      </x:c>
      <x:c r="D156" s="3" t="n">
        <x:f>IF(C156&lt;=$D$30*12,(1+$D$31)^(-C156/12),0)</x:f>
        <x:v>0</x:v>
      </x:c>
      <x:c r="E156" s="3" t="n">
        <x:f>IF(C156=MAX(1,ROUNDUP(MAX($D$27,$D$29),0)),$D$13*($D$22+$D$24)*1000000*D156,0)</x:f>
        <x:v>0</x:v>
      </x:c>
      <x:c r="F156" s="3" t="n">
        <x:f>IF(C156=MAX(1,ROUNDUP(MAX($D$28,$D$29),0)),$D$13*($D$23+$D$25)*1000000*D156,0)</x:f>
        <x:v>0</x:v>
      </x:c>
      <x:c r="G156" s="3" t="n">
        <x:f>IF(C156&gt;MAX($D$27,$D$29),(($D$13*(1-$D$14)/(1+$D$26))*$D$15*$D$16)*8760/12*($D$17*$D$18/1000+$D$20)*D156,0)</x:f>
        <x:v>0</x:v>
      </x:c>
      <x:c r="H156" s="1" t="n">
        <x:f>IF(C156&gt;MAX($D$28,$D$29),(($D$13*(1-$D$14)/(1+$D$26))*$D$15*$D$16)*8760/12*($D$17*$D$19/1000+$D$21)*D156,0)</x:f>
        <x:v>0</x:v>
      </x:c>
      <x:c r="I156" s="1" t="n">
        <x:f>IF(C156&gt;MAX($D$27,$D$29),(($D$13*(1-$D$14)/(1+$D$26))*$D$15*$D$16)*D156,0)</x:f>
        <x:v>0</x:v>
      </x:c>
      <x:c r="J156" s="1" t="n">
        <x:f>IF(C156&gt;MAX($D$28,$D$29),(($D$13*(1-$D$14)/(1+$D$26))*$D$15*$D$16)*D156,0)</x:f>
        <x:v>0</x:v>
      </x:c>
      <x:c r="K156" s="1" t="n">
        <x:f>IF(C156&gt;MAX($D$33,$D$29),(($D$13*(1-$D$14)/(1+$D$26))*$D$15*$D$16)*8760/12*$D$34*D156,0)</x:f>
        <x:v>0</x:v>
      </x:c>
      <x:c r="L156" s="1" t="n">
        <x:f>IF(C156&gt;MAX($D$33,$D$29),(($D$13*(1-$D$14)/(1+$D$26))*$D$15*$D$16)*D156,0)</x:f>
        <x:v>0</x:v>
      </x:c>
    </x:row>
    <x:row r="157" ht="22" customHeight="1">
      <x:c r="C157" s="1" t="n">
        <x:v>117</x:v>
      </x:c>
      <x:c r="D157" s="3" t="n">
        <x:f>IF(C157&lt;=$D$30*12,(1+$D$31)^(-C157/12),0)</x:f>
        <x:v>0</x:v>
      </x:c>
      <x:c r="E157" s="3" t="n">
        <x:f>IF(C157=MAX(1,ROUNDUP(MAX($D$27,$D$29),0)),$D$13*($D$22+$D$24)*1000000*D157,0)</x:f>
        <x:v>0</x:v>
      </x:c>
      <x:c r="F157" s="3" t="n">
        <x:f>IF(C157=MAX(1,ROUNDUP(MAX($D$28,$D$29),0)),$D$13*($D$23+$D$25)*1000000*D157,0)</x:f>
        <x:v>0</x:v>
      </x:c>
      <x:c r="G157" s="3" t="n">
        <x:f>IF(C157&gt;MAX($D$27,$D$29),(($D$13*(1-$D$14)/(1+$D$26))*$D$15*$D$16)*8760/12*($D$17*$D$18/1000+$D$20)*D157,0)</x:f>
        <x:v>0</x:v>
      </x:c>
      <x:c r="H157" s="1" t="n">
        <x:f>IF(C157&gt;MAX($D$28,$D$29),(($D$13*(1-$D$14)/(1+$D$26))*$D$15*$D$16)*8760/12*($D$17*$D$19/1000+$D$21)*D157,0)</x:f>
        <x:v>0</x:v>
      </x:c>
      <x:c r="I157" s="1" t="n">
        <x:f>IF(C157&gt;MAX($D$27,$D$29),(($D$13*(1-$D$14)/(1+$D$26))*$D$15*$D$16)*D157,0)</x:f>
        <x:v>0</x:v>
      </x:c>
      <x:c r="J157" s="1" t="n">
        <x:f>IF(C157&gt;MAX($D$28,$D$29),(($D$13*(1-$D$14)/(1+$D$26))*$D$15*$D$16)*D157,0)</x:f>
        <x:v>0</x:v>
      </x:c>
      <x:c r="K157" s="1" t="n">
        <x:f>IF(C157&gt;MAX($D$33,$D$29),(($D$13*(1-$D$14)/(1+$D$26))*$D$15*$D$16)*8760/12*$D$34*D157,0)</x:f>
        <x:v>0</x:v>
      </x:c>
      <x:c r="L157" s="1" t="n">
        <x:f>IF(C157&gt;MAX($D$33,$D$29),(($D$13*(1-$D$14)/(1+$D$26))*$D$15*$D$16)*D157,0)</x:f>
        <x:v>0</x:v>
      </x:c>
    </x:row>
    <x:row r="158" ht="22" customHeight="1">
      <x:c r="C158" s="1" t="n">
        <x:v>118</x:v>
      </x:c>
      <x:c r="D158" s="3" t="n">
        <x:f>IF(C158&lt;=$D$30*12,(1+$D$31)^(-C158/12),0)</x:f>
        <x:v>0</x:v>
      </x:c>
      <x:c r="E158" s="3" t="n">
        <x:f>IF(C158=MAX(1,ROUNDUP(MAX($D$27,$D$29),0)),$D$13*($D$22+$D$24)*1000000*D158,0)</x:f>
        <x:v>0</x:v>
      </x:c>
      <x:c r="F158" s="3" t="n">
        <x:f>IF(C158=MAX(1,ROUNDUP(MAX($D$28,$D$29),0)),$D$13*($D$23+$D$25)*1000000*D158,0)</x:f>
        <x:v>0</x:v>
      </x:c>
      <x:c r="G158" s="3" t="n">
        <x:f>IF(C158&gt;MAX($D$27,$D$29),(($D$13*(1-$D$14)/(1+$D$26))*$D$15*$D$16)*8760/12*($D$17*$D$18/1000+$D$20)*D158,0)</x:f>
        <x:v>0</x:v>
      </x:c>
      <x:c r="H158" s="1" t="n">
        <x:f>IF(C158&gt;MAX($D$28,$D$29),(($D$13*(1-$D$14)/(1+$D$26))*$D$15*$D$16)*8760/12*($D$17*$D$19/1000+$D$21)*D158,0)</x:f>
        <x:v>0</x:v>
      </x:c>
      <x:c r="I158" s="1" t="n">
        <x:f>IF(C158&gt;MAX($D$27,$D$29),(($D$13*(1-$D$14)/(1+$D$26))*$D$15*$D$16)*D158,0)</x:f>
        <x:v>0</x:v>
      </x:c>
      <x:c r="J158" s="1" t="n">
        <x:f>IF(C158&gt;MAX($D$28,$D$29),(($D$13*(1-$D$14)/(1+$D$26))*$D$15*$D$16)*D158,0)</x:f>
        <x:v>0</x:v>
      </x:c>
      <x:c r="K158" s="1" t="n">
        <x:f>IF(C158&gt;MAX($D$33,$D$29),(($D$13*(1-$D$14)/(1+$D$26))*$D$15*$D$16)*8760/12*$D$34*D158,0)</x:f>
        <x:v>0</x:v>
      </x:c>
      <x:c r="L158" s="1" t="n">
        <x:f>IF(C158&gt;MAX($D$33,$D$29),(($D$13*(1-$D$14)/(1+$D$26))*$D$15*$D$16)*D158,0)</x:f>
        <x:v>0</x:v>
      </x:c>
    </x:row>
    <x:row r="159" ht="22" customHeight="1">
      <x:c r="C159" s="1" t="n">
        <x:v>119</x:v>
      </x:c>
      <x:c r="D159" s="3" t="n">
        <x:f>IF(C159&lt;=$D$30*12,(1+$D$31)^(-C159/12),0)</x:f>
        <x:v>0</x:v>
      </x:c>
      <x:c r="E159" s="3" t="n">
        <x:f>IF(C159=MAX(1,ROUNDUP(MAX($D$27,$D$29),0)),$D$13*($D$22+$D$24)*1000000*D159,0)</x:f>
        <x:v>0</x:v>
      </x:c>
      <x:c r="F159" s="3" t="n">
        <x:f>IF(C159=MAX(1,ROUNDUP(MAX($D$28,$D$29),0)),$D$13*($D$23+$D$25)*1000000*D159,0)</x:f>
        <x:v>0</x:v>
      </x:c>
      <x:c r="G159" s="3" t="n">
        <x:f>IF(C159&gt;MAX($D$27,$D$29),(($D$13*(1-$D$14)/(1+$D$26))*$D$15*$D$16)*8760/12*($D$17*$D$18/1000+$D$20)*D159,0)</x:f>
        <x:v>0</x:v>
      </x:c>
      <x:c r="H159" s="1" t="n">
        <x:f>IF(C159&gt;MAX($D$28,$D$29),(($D$13*(1-$D$14)/(1+$D$26))*$D$15*$D$16)*8760/12*($D$17*$D$19/1000+$D$21)*D159,0)</x:f>
        <x:v>0</x:v>
      </x:c>
      <x:c r="I159" s="1" t="n">
        <x:f>IF(C159&gt;MAX($D$27,$D$29),(($D$13*(1-$D$14)/(1+$D$26))*$D$15*$D$16)*D159,0)</x:f>
        <x:v>0</x:v>
      </x:c>
      <x:c r="J159" s="1" t="n">
        <x:f>IF(C159&gt;MAX($D$28,$D$29),(($D$13*(1-$D$14)/(1+$D$26))*$D$15*$D$16)*D159,0)</x:f>
        <x:v>0</x:v>
      </x:c>
      <x:c r="K159" s="1" t="n">
        <x:f>IF(C159&gt;MAX($D$33,$D$29),(($D$13*(1-$D$14)/(1+$D$26))*$D$15*$D$16)*8760/12*$D$34*D159,0)</x:f>
        <x:v>0</x:v>
      </x:c>
      <x:c r="L159" s="1" t="n">
        <x:f>IF(C159&gt;MAX($D$33,$D$29),(($D$13*(1-$D$14)/(1+$D$26))*$D$15*$D$16)*D159,0)</x:f>
        <x:v>0</x:v>
      </x:c>
    </x:row>
    <x:row r="160" ht="22" customHeight="1">
      <x:c r="C160" s="1" t="n">
        <x:v>120</x:v>
      </x:c>
      <x:c r="D160" s="3" t="n">
        <x:f>IF(C160&lt;=$D$30*12,(1+$D$31)^(-C160/12),0)</x:f>
        <x:v>0</x:v>
      </x:c>
      <x:c r="E160" s="3" t="n">
        <x:f>IF(C160=MAX(1,ROUNDUP(MAX($D$27,$D$29),0)),$D$13*($D$22+$D$24)*1000000*D160,0)</x:f>
        <x:v>0</x:v>
      </x:c>
      <x:c r="F160" s="3" t="n">
        <x:f>IF(C160=MAX(1,ROUNDUP(MAX($D$28,$D$29),0)),$D$13*($D$23+$D$25)*1000000*D160,0)</x:f>
        <x:v>0</x:v>
      </x:c>
      <x:c r="G160" s="3" t="n">
        <x:f>IF(C160&gt;MAX($D$27,$D$29),(($D$13*(1-$D$14)/(1+$D$26))*$D$15*$D$16)*8760/12*($D$17*$D$18/1000+$D$20)*D160,0)</x:f>
        <x:v>0</x:v>
      </x:c>
      <x:c r="H160" s="1" t="n">
        <x:f>IF(C160&gt;MAX($D$28,$D$29),(($D$13*(1-$D$14)/(1+$D$26))*$D$15*$D$16)*8760/12*($D$17*$D$19/1000+$D$21)*D160,0)</x:f>
        <x:v>0</x:v>
      </x:c>
      <x:c r="I160" s="1" t="n">
        <x:f>IF(C160&gt;MAX($D$27,$D$29),(($D$13*(1-$D$14)/(1+$D$26))*$D$15*$D$16)*D160,0)</x:f>
        <x:v>0</x:v>
      </x:c>
      <x:c r="J160" s="1" t="n">
        <x:f>IF(C160&gt;MAX($D$28,$D$29),(($D$13*(1-$D$14)/(1+$D$26))*$D$15*$D$16)*D160,0)</x:f>
        <x:v>0</x:v>
      </x:c>
      <x:c r="K160" s="1" t="n">
        <x:f>IF(C160&gt;MAX($D$33,$D$29),(($D$13*(1-$D$14)/(1+$D$26))*$D$15*$D$16)*8760/12*$D$34*D160,0)</x:f>
        <x:v>0</x:v>
      </x:c>
      <x:c r="L160" s="1" t="n">
        <x:f>IF(C160&gt;MAX($D$33,$D$29),(($D$13*(1-$D$14)/(1+$D$26))*$D$15*$D$16)*D160,0)</x:f>
        <x:v>0</x:v>
      </x:c>
    </x:row>
    <x:row r="161" ht="22" customHeight="1">
      <x:c r="C161" s="1"/>
      <x:c r="D161" s="3"/>
      <x:c r="E161" s="3"/>
      <x:c r="F161" s="3"/>
      <x:c r="G161" s="3"/>
      <x:c r="H161" s="1"/>
      <x:c r="I161" s="1"/>
      <x:c r="J161" s="1"/>
      <x:c r="K161" s="1"/>
      <x:c r="L161" s="1"/>
    </x:row>
    <x:row r="162" ht="22" customHeight="1">
      <x:c r="C162" s="1"/>
      <x:c r="D162" s="3"/>
      <x:c r="E162" s="3"/>
      <x:c r="F162" s="3"/>
      <x:c r="G162" s="3"/>
      <x:c r="H162" s="1"/>
      <x:c r="I162" s="1"/>
      <x:c r="J162" s="1"/>
      <x:c r="K162" s="1"/>
      <x:c r="L162" s="1"/>
    </x:row>
    <x:row r="163" ht="22" customHeight="1">
      <x:c r="C163" s="1"/>
      <x:c r="D163" s="3"/>
      <x:c r="E163" s="3"/>
      <x:c r="F163" s="3"/>
      <x:c r="G163" s="3"/>
      <x:c r="H163" s="1"/>
      <x:c r="I163" s="1"/>
      <x:c r="J163" s="1"/>
      <x:c r="K163" s="1"/>
      <x:c r="L163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2" ht="22" customHeight="1">
      <x:c r="C2" s="2" t="str">
        <x:v>Engine alternative-use economics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5" customHeight="1">
      <x:c r="C5" s="8" t="str">
        <x:v>Alternative-use output</x:v>
      </x:c>
      <x:c r="D5" s="9" t="str">
        <x:v>USD m / units</x:v>
      </x:c>
      <x:c r="E5" s="3"/>
      <x:c r="F5" s="3"/>
      <x:c r="G5" s="3"/>
      <x:c r="H5" s="1"/>
      <x:c r="I5" s="1"/>
      <x:c r="J5" s="1"/>
      <x:c r="K5" s="1"/>
      <x:c r="L5" s="1"/>
    </x:row>
    <x:row r="6" ht="22" customHeight="1">
      <x:c r="C6" s="1" t="str">
        <x:v>Acquisition cost per successful unit</x:v>
      </x:c>
      <x:c r="D6" s="3" t="n">
        <x:f>D16/D20</x:f>
        <x:v>2.142857142857143</x:v>
      </x:c>
      <x:c r="E6" s="3"/>
      <x:c r="F6" s="3"/>
      <x:c r="G6" s="3"/>
      <x:c r="H6" s="1"/>
      <x:c r="I6" s="1"/>
      <x:c r="J6" s="1"/>
      <x:c r="K6" s="1"/>
      <x:c r="L6" s="1"/>
    </x:row>
    <x:row r="7" ht="22" customHeight="1">
      <x:c r="C7" s="1" t="str">
        <x:v>Power net value</x:v>
      </x:c>
      <x:c r="D7" s="3" t="n">
        <x:f>D15+D23-D6-D17-D18-D19</x:f>
        <x:v>1.757142857142858</x:v>
      </x:c>
      <x:c r="E7" s="3"/>
      <x:c r="F7" s="3"/>
      <x:c r="G7" s="3"/>
      <x:c r="H7" s="1"/>
      <x:c r="I7" s="1"/>
      <x:c r="J7" s="1"/>
      <x:c r="K7" s="1"/>
      <x:c r="L7" s="1"/>
    </x:row>
    <x:row r="8" ht="22" customHeight="1">
      <x:c r="C8" s="1" t="str">
        <x:v>Aviation net value</x:v>
      </x:c>
      <x:c r="D8" s="3" t="n">
        <x:f>D21-D16</x:f>
        <x:v>1</x:v>
      </x:c>
      <x:c r="E8" s="3"/>
      <x:c r="F8" s="3"/>
      <x:c r="G8" s="3"/>
      <x:c r="H8" s="1"/>
      <x:c r="I8" s="1"/>
      <x:c r="J8" s="1"/>
      <x:c r="K8" s="1"/>
      <x:c r="L8" s="1"/>
    </x:row>
    <x:row r="9" ht="22" customHeight="1">
      <x:c r="C9" s="1" t="str">
        <x:v>Parts net value</x:v>
      </x:c>
      <x:c r="D9" s="3" t="n">
        <x:f>D22-D16</x:f>
        <x:v>0.10000000000000009</x:v>
      </x:c>
      <x:c r="E9" s="3"/>
      <x:c r="F9" s="3"/>
      <x:c r="G9" s="3"/>
      <x:c r="H9" s="1"/>
      <x:c r="I9" s="1"/>
      <x:c r="J9" s="1"/>
      <x:c r="K9" s="1"/>
      <x:c r="L9" s="1"/>
    </x:row>
    <x:row r="10" ht="22" customHeight="1">
      <x:c r="C10" s="1" t="str">
        <x:v>Power value over best alternative</x:v>
      </x:c>
      <x:c r="D10" s="3" t="n">
        <x:f>D7-MAX(D8:D9)</x:f>
        <x:v>0.757142857142858</x:v>
      </x:c>
      <x:c r="E10" s="3"/>
      <x:c r="F10" s="3"/>
      <x:c r="G10" s="3"/>
      <x:c r="H10" s="1"/>
      <x:c r="I10" s="1"/>
      <x:c r="J10" s="1"/>
      <x:c r="K10" s="1"/>
      <x:c r="L10" s="1"/>
    </x:row>
    <x:row r="11" ht="22" customHeight="1">
      <x:c r="C11" s="1" t="str">
        <x:v>Constrained annual output</x:v>
      </x:c>
      <x:c r="D11" s="3" t="n">
        <x:f>MIN(INT(D24*D20),D25,D26,D27)</x:f>
        <x:v>100</x:v>
      </x:c>
      <x:c r="E11" s="3"/>
      <x:c r="F11" s="3"/>
      <x:c r="G11" s="3"/>
      <x:c r="H11" s="1"/>
      <x:c r="I11" s="1"/>
      <x:c r="J11" s="1"/>
      <x:c r="K11" s="1"/>
      <x:c r="L11" s="1"/>
    </x:row>
    <x:row r="12" ht="22" customHeight="1">
      <x:c r="C12" s="1" t="str">
        <x:v>Feedstock needed for target</x:v>
      </x:c>
      <x:c r="D12" s="3" t="n">
        <x:f>ROUNDUP(D27/D20,0)</x:f>
        <x:v>143</x:v>
      </x:c>
      <x:c r="E12" s="3"/>
      <x:c r="F12" s="3"/>
      <x:c r="G12" s="3"/>
      <x:c r="H12" s="1"/>
      <x:c r="I12" s="1"/>
      <x:c r="J12" s="1"/>
      <x:c r="K12" s="1"/>
      <x:c r="L12" s="1"/>
    </x:row>
    <x:row r="13" ht="22" customHeight="1">
      <x:c r="C13" s="1"/>
      <x:c r="D13" s="3"/>
      <x:c r="E13" s="3"/>
      <x:c r="F13" s="3"/>
      <x:c r="G13" s="3"/>
      <x:c r="H13" s="1"/>
      <x:c r="I13" s="1"/>
      <x:c r="J13" s="1"/>
      <x:c r="K13" s="1"/>
      <x:c r="L13" s="1"/>
    </x:row>
    <x:row r="14" ht="25" customHeight="1">
      <x:c r="C14" s="8" t="str">
        <x:v>Allocation inputs</x:v>
      </x:c>
      <x:c r="D14" s="9" t="str">
        <x:v>Value</x:v>
      </x:c>
      <x:c r="E14" s="3"/>
      <x:c r="F14" s="3"/>
      <x:c r="G14" s="3"/>
      <x:c r="H14" s="1"/>
      <x:c r="I14" s="1"/>
      <x:c r="J14" s="1"/>
      <x:c r="K14" s="1"/>
      <x:c r="L14" s="1"/>
    </x:row>
    <x:row r="15" ht="22" customHeight="1">
      <x:c r="C15" s="1" t="str">
        <x:v>Turbine sale value (USD m)</x:v>
      </x:c>
      <x:c r="D15" s="10" t="n">
        <x:v>6</x:v>
      </x:c>
      <x:c r="E15" s="3"/>
      <x:c r="F15" s="3"/>
      <x:c r="G15" s="3"/>
      <x:c r="H15" s="1"/>
      <x:c r="I15" s="1"/>
      <x:c r="J15" s="1"/>
      <x:c r="K15" s="1"/>
      <x:c r="L15" s="1"/>
    </x:row>
    <x:row r="16" ht="22" customHeight="1">
      <x:c r="C16" s="1" t="str">
        <x:v>Candidate acquisition (USD m)</x:v>
      </x:c>
      <x:c r="D16" s="10" t="n">
        <x:v>1.5</x:v>
      </x:c>
      <x:c r="E16" s="3"/>
      <x:c r="F16" s="3"/>
      <x:c r="G16" s="3"/>
      <x:c r="H16" s="1"/>
      <x:c r="I16" s="1"/>
      <x:c r="J16" s="1"/>
      <x:c r="K16" s="1"/>
      <x:c r="L16" s="1"/>
    </x:row>
    <x:row r="17" ht="22" customHeight="1">
      <x:c r="C17" s="1" t="str">
        <x:v>Conversion cost per output (USD m)</x:v>
      </x:c>
      <x:c r="D17" s="10" t="n">
        <x:v>2</x:v>
      </x:c>
      <x:c r="E17" s="3"/>
      <x:c r="F17" s="3"/>
      <x:c r="G17" s="3"/>
      <x:c r="H17" s="1"/>
      <x:c r="I17" s="1"/>
      <x:c r="J17" s="1"/>
      <x:c r="K17" s="1"/>
      <x:c r="L17" s="1"/>
    </x:row>
    <x:row r="18" ht="22" customHeight="1">
      <x:c r="C18" s="1" t="str">
        <x:v>Testing cost (USD m)</x:v>
      </x:c>
      <x:c r="D18" s="10" t="n">
        <x:v>0.3</x:v>
      </x:c>
      <x:c r="E18" s="3"/>
      <x:c r="F18" s="3"/>
      <x:c r="G18" s="3"/>
      <x:c r="H18" s="1"/>
      <x:c r="I18" s="1"/>
      <x:c r="J18" s="1"/>
      <x:c r="K18" s="1"/>
      <x:c r="L18" s="1"/>
    </x:row>
    <x:row r="19" ht="22" customHeight="1">
      <x:c r="C19" s="1" t="str">
        <x:v>Working-capital charge (USD m)</x:v>
      </x:c>
      <x:c r="D19" s="10" t="n">
        <x:v>0.2</x:v>
      </x:c>
      <x:c r="E19" s="3"/>
      <x:c r="F19" s="3"/>
      <x:c r="G19" s="3"/>
      <x:c r="H19" s="1"/>
      <x:c r="I19" s="1"/>
      <x:c r="J19" s="1"/>
      <x:c r="K19" s="1"/>
      <x:c r="L19" s="1"/>
    </x:row>
    <x:row r="20" ht="22" customHeight="1">
      <x:c r="C20" s="1" t="str">
        <x:v>Qualification yield</x:v>
      </x:c>
      <x:c r="D20" s="12" t="n">
        <x:v>0.7</x:v>
      </x:c>
      <x:c r="E20" s="3"/>
      <x:c r="F20" s="3"/>
      <x:c r="G20" s="3"/>
      <x:c r="H20" s="1"/>
      <x:c r="I20" s="1"/>
      <x:c r="J20" s="1"/>
      <x:c r="K20" s="1"/>
      <x:c r="L20" s="1"/>
    </x:row>
    <x:row r="21" ht="22" customHeight="1">
      <x:c r="C21" s="1" t="str">
        <x:v>Aviation receipts less maintenance NPV (USD m)</x:v>
      </x:c>
      <x:c r="D21" s="10" t="n">
        <x:v>2.5</x:v>
      </x:c>
      <x:c r="E21" s="3"/>
      <x:c r="F21" s="3"/>
      <x:c r="G21" s="3"/>
      <x:c r="H21" s="1"/>
      <x:c r="I21" s="1"/>
      <x:c r="J21" s="1"/>
      <x:c r="K21" s="1"/>
      <x:c r="L21" s="1"/>
    </x:row>
    <x:row r="22" ht="22" customHeight="1">
      <x:c r="C22" s="1" t="str">
        <x:v>Parts sale value (USD m)</x:v>
      </x:c>
      <x:c r="D22" s="10" t="n">
        <x:v>1.6</x:v>
      </x:c>
      <x:c r="E22" s="3"/>
      <x:c r="F22" s="3"/>
      <x:c r="G22" s="3"/>
      <x:c r="H22" s="1"/>
      <x:c r="I22" s="1"/>
      <x:c r="J22" s="1"/>
      <x:c r="K22" s="1"/>
      <x:c r="L22" s="1"/>
    </x:row>
    <x:row r="23" ht="22" customHeight="1">
      <x:c r="C23" s="1" t="str">
        <x:v>Power service NPV (USD m)</x:v>
      </x:c>
      <x:c r="D23" s="10" t="n">
        <x:v>0.4</x:v>
      </x:c>
      <x:c r="E23" s="3"/>
      <x:c r="F23" s="3"/>
      <x:c r="G23" s="3"/>
      <x:c r="H23" s="1"/>
      <x:c r="I23" s="1"/>
      <x:c r="J23" s="1"/>
      <x:c r="K23" s="1"/>
      <x:c r="L23" s="1"/>
    </x:row>
    <x:row r="24" ht="22" customHeight="1">
      <x:c r="C24" s="1" t="str">
        <x:v>Candidate engines</x:v>
      </x:c>
      <x:c r="D24" s="10" t="n">
        <x:v>200</x:v>
      </x:c>
      <x:c r="E24" s="3"/>
      <x:c r="F24" s="3"/>
      <x:c r="G24" s="3"/>
      <x:c r="H24" s="1"/>
      <x:c r="I24" s="1"/>
      <x:c r="J24" s="1"/>
      <x:c r="K24" s="1"/>
      <x:c r="L24" s="1"/>
    </x:row>
    <x:row r="25" ht="22" customHeight="1">
      <x:c r="C25" s="1" t="str">
        <x:v>Conversion/repair output capacity</x:v>
      </x:c>
      <x:c r="D25" s="10" t="n">
        <x:v>150</x:v>
      </x:c>
      <x:c r="E25" s="3"/>
      <x:c r="F25" s="3"/>
      <x:c r="G25" s="3"/>
      <x:c r="H25" s="1"/>
      <x:c r="I25" s="1"/>
      <x:c r="J25" s="1"/>
      <x:c r="K25" s="1"/>
      <x:c r="L25" s="1"/>
    </x:row>
    <x:row r="26" ht="22" customHeight="1">
      <x:c r="C26" s="1" t="str">
        <x:v>Packaging capacity</x:v>
      </x:c>
      <x:c r="D26" s="10" t="n">
        <x:v>100</x:v>
      </x:c>
      <x:c r="E26" s="3"/>
      <x:c r="F26" s="3"/>
      <x:c r="G26" s="3"/>
      <x:c r="H26" s="1"/>
      <x:c r="I26" s="1"/>
      <x:c r="J26" s="1"/>
      <x:c r="K26" s="1"/>
      <x:c r="L26" s="1"/>
    </x:row>
    <x:row r="27" ht="22" customHeight="1">
      <x:c r="C27" s="1" t="str">
        <x:v>Delivery target</x:v>
      </x:c>
      <x:c r="D27" s="10" t="n">
        <x:v>100</x:v>
      </x:c>
      <x:c r="E27" s="3"/>
      <x:c r="F27" s="3"/>
      <x:c r="G27" s="3"/>
      <x:c r="H27" s="1"/>
      <x:c r="I27" s="1"/>
      <x:c r="J27" s="1"/>
      <x:c r="K27" s="1"/>
      <x:c r="L27" s="1"/>
    </x:row>
    <x:row r="28" ht="22" customHeight="1">
      <x:c r="C28" s="1"/>
      <x:c r="D28" s="3"/>
      <x:c r="E28" s="3"/>
      <x:c r="F28" s="3"/>
      <x:c r="G28" s="3"/>
      <x:c r="H28" s="1"/>
      <x:c r="I28" s="1"/>
      <x:c r="J28" s="1"/>
      <x:c r="K28" s="1"/>
      <x:c r="L28" s="1"/>
    </x:row>
    <x:row r="29" ht="22" customHeight="1">
      <x:c r="C29" s="1"/>
      <x:c r="D29" s="3"/>
      <x:c r="E29" s="3"/>
      <x:c r="F29" s="3"/>
      <x:c r="G29" s="3"/>
      <x:c r="H29" s="1"/>
      <x:c r="I29" s="1"/>
      <x:c r="J29" s="1"/>
      <x:c r="K29" s="1"/>
      <x:c r="L29" s="1"/>
    </x:row>
    <x:row r="30" ht="22" customHeight="1">
      <x:c r="C30" s="1" t="str">
        <x:v>All valuation and qualification inputs are assumptions.</x:v>
      </x:c>
      <x:c r="D30" s="3"/>
      <x:c r="E30" s="3"/>
      <x:c r="F30" s="3"/>
      <x:c r="G30" s="3"/>
      <x:c r="H30" s="1"/>
      <x:c r="I30" s="1"/>
      <x:c r="J30" s="1"/>
      <x:c r="K30" s="1"/>
      <x:c r="L30" s="1"/>
    </x:row>
    <x:row r="31" ht="22" customHeight="1">
      <x:c r="C31" s="1" t="str">
        <x:v>Rejected candidates receive zero salvage in this scenario.</x:v>
      </x:c>
      <x:c r="D31" s="3"/>
      <x:c r="E31" s="3"/>
      <x:c r="F31" s="3"/>
      <x:c r="G31" s="3"/>
      <x:c r="H31" s="1"/>
      <x:c r="I31" s="1"/>
      <x:c r="J31" s="1"/>
      <x:c r="K31" s="1"/>
      <x:c r="L31" s="1"/>
    </x:row>
    <x:row r="32" ht="22" customHeight="1">
      <x:c r="C32" s="1" t="str">
        <x:v>FAA aircraft type/age does not establish convertible engine supply.</x:v>
      </x:c>
      <x:c r="D32" s="3"/>
      <x:c r="E32" s="3"/>
      <x:c r="F32" s="3"/>
      <x:c r="G32" s="3"/>
      <x:c r="H32" s="1"/>
      <x:c r="I32" s="1"/>
      <x:c r="J32" s="1"/>
      <x:c r="K32" s="1"/>
      <x:c r="L32" s="1"/>
    </x:row>
    <x:row r="33" ht="22" customHeight="1">
      <x:c r="C33" s="1"/>
      <x:c r="D33" s="3"/>
      <x:c r="E33" s="3"/>
      <x:c r="F33" s="3"/>
      <x:c r="G33" s="3"/>
      <x:c r="H33" s="1"/>
      <x:c r="I33" s="1"/>
      <x:c r="J33" s="1"/>
      <x:c r="K33" s="1"/>
      <x:c r="L33" s="1"/>
    </x:row>
    <x:row r="34" ht="22" customHeight="1">
      <x:c r="C34" s="1"/>
      <x:c r="D34" s="3"/>
      <x:c r="E34" s="3"/>
      <x:c r="F34" s="3"/>
      <x:c r="G34" s="3"/>
      <x:c r="H34" s="1"/>
      <x:c r="I34" s="1"/>
      <x:c r="J34" s="1"/>
      <x:c r="K34" s="1"/>
      <x:c r="L34" s="1"/>
    </x:row>
    <x:row r="35" ht="22" customHeight="1">
      <x:c r="C35" s="1"/>
      <x:c r="D35" s="3"/>
      <x:c r="E35" s="3"/>
      <x:c r="F35" s="3"/>
      <x:c r="G35" s="3"/>
      <x:c r="H35" s="1"/>
      <x:c r="I35" s="1"/>
      <x:c r="J35" s="1"/>
      <x:c r="K35" s="1"/>
      <x:c r="L35" s="1"/>
    </x:row>
    <x:row r="36" ht="22" customHeight="1">
      <x:c r="C36" s="1"/>
      <x:c r="D36" s="3"/>
      <x:c r="E36" s="3"/>
      <x:c r="F36" s="3"/>
      <x:c r="G36" s="3"/>
      <x:c r="H36" s="1"/>
      <x:c r="I36" s="1"/>
      <x:c r="J36" s="1"/>
      <x:c r="K36" s="1"/>
      <x:c r="L36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2" ht="22" customHeight="1">
      <x:c r="C2" s="2" t="str">
        <x:v>FTAI sum-of-the-parts sensitivity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C3" s="1" t="str">
        <x:v>Observed share price (USD/share; enter dated quote)</x:v>
      </x:c>
      <x:c r="D3" s="14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C4" s="1" t="str">
        <x:v>Case selected</x:v>
      </x:c>
      <x:c r="D4" s="5" t="str">
        <x:f>'Power model'!D4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5" customHeight="1">
      <x:c r="C5" s="8" t="str">
        <x:v>Valuation output</x:v>
      </x:c>
      <x:c r="D5" s="9" t="str">
        <x:v>USD m / per share</x:v>
      </x:c>
      <x:c r="E5" s="3"/>
      <x:c r="F5" s="3"/>
      <x:c r="G5" s="3"/>
      <x:c r="H5" s="1"/>
      <x:c r="I5" s="1"/>
      <x:c r="J5" s="1"/>
      <x:c r="K5" s="1"/>
      <x:c r="L5" s="1"/>
    </x:row>
    <x:row r="6" ht="22" customHeight="1">
      <x:c r="C6" s="1" t="str">
        <x:v>Illustrative equity value</x:v>
      </x:c>
      <x:c r="D6" s="3" t="n">
        <x:f>D13*D14+D15+D16+D25*D17-D18*D19-D20+D21-D22</x:f>
        <x:v>20826.417999999998</x:v>
      </x:c>
      <x:c r="E6" s="3"/>
      <x:c r="F6" s="3"/>
      <x:c r="G6" s="3"/>
      <x:c r="H6" s="1"/>
      <x:c r="I6" s="1"/>
      <x:c r="J6" s="1"/>
      <x:c r="K6" s="1"/>
      <x:c r="L6" s="1"/>
    </x:row>
    <x:row r="7" ht="22" customHeight="1">
      <x:c r="C7" s="1" t="str">
        <x:v>Illustrative value per share</x:v>
      </x:c>
      <x:c r="D7" s="16" t="n">
        <x:f>D6/D23</x:f>
        <x:v>200.16911480613996</x:v>
      </x:c>
      <x:c r="E7" s="3"/>
      <x:c r="F7" s="3"/>
      <x:c r="G7" s="3"/>
      <x:c r="H7" s="1"/>
      <x:c r="I7" s="1"/>
      <x:c r="J7" s="1"/>
      <x:c r="K7" s="1"/>
      <x:c r="L7" s="1"/>
    </x:row>
    <x:row r="8" ht="22" customHeight="1">
      <x:c r="C8" s="1" t="str">
        <x:v>Required Power value at observed price</x:v>
      </x:c>
      <x:c r="D8" s="3" t="str">
        <x:f>IF(ISNUMBER(D3),D3*D23+D20-D21+D22-D13*D14-D15-D16+D18*D19,"n.a.")</x:f>
        <x:v>n.a.</x:v>
      </x:c>
      <x:c r="E8" s="3"/>
      <x:c r="F8" s="3"/>
      <x:c r="G8" s="3"/>
      <x:c r="H8" s="1"/>
      <x:c r="I8" s="1"/>
      <x:c r="J8" s="1"/>
      <x:c r="K8" s="1"/>
      <x:c r="L8" s="1"/>
    </x:row>
    <x:row r="9" ht="22" customHeight="1">
      <x:c r="C9" s="1" t="str">
        <x:v>Required Power earnings proxy</x:v>
      </x:c>
      <x:c r="D9" s="3" t="str">
        <x:f>IF(ISNUMBER(D8),D8/D17,"n.a.")</x:f>
        <x:v>n.a.</x:v>
      </x:c>
      <x:c r="E9" s="3"/>
      <x:c r="F9" s="3"/>
      <x:c r="G9" s="3"/>
      <x:c r="H9" s="1"/>
      <x:c r="I9" s="1"/>
      <x:c r="J9" s="1"/>
      <x:c r="K9" s="1"/>
      <x:c r="L9" s="1"/>
    </x:row>
    <x:row r="10" ht="22" customHeight="1">
      <x:c r="C10" s="1"/>
      <x:c r="D10" s="3"/>
      <x:c r="E10" s="3"/>
      <x:c r="F10" s="3"/>
      <x:c r="G10" s="3"/>
      <x:c r="H10" s="1"/>
      <x:c r="I10" s="1"/>
      <x:c r="J10" s="1"/>
      <x:c r="K10" s="1"/>
      <x:c r="L10" s="1"/>
    </x:row>
    <x:row r="11" ht="22" customHeight="1">
      <x:c r="C11" s="1"/>
      <x:c r="D11" s="3"/>
      <x:c r="E11" s="3"/>
      <x:c r="F11" s="3"/>
      <x:c r="G11" s="3"/>
      <x:c r="H11" s="1"/>
      <x:c r="I11" s="1"/>
      <x:c r="J11" s="1"/>
      <x:c r="K11" s="1"/>
      <x:c r="L11" s="1"/>
    </x:row>
    <x:row r="12" ht="25" customHeight="1">
      <x:c r="C12" s="8" t="str">
        <x:v>Valuation inputs</x:v>
      </x:c>
      <x:c r="D12" s="9" t="str">
        <x:v>Value</x:v>
      </x:c>
      <x:c r="E12" s="3"/>
      <x:c r="F12" s="3"/>
      <x:c r="G12" s="3"/>
      <x:c r="H12" s="1"/>
      <x:c r="I12" s="1"/>
      <x:c r="J12" s="1"/>
      <x:c r="K12" s="1"/>
      <x:c r="L12" s="1"/>
    </x:row>
    <x:row r="13" ht="22" customHeight="1">
      <x:c r="C13" s="1" t="str">
        <x:v>Aerospace FY2027 EBITDA (USD m)</x:v>
      </x:c>
      <x:c r="D13" s="10" t="n">
        <x:v>1300</x:v>
      </x:c>
      <x:c r="E13" s="3"/>
      <x:c r="F13" s="3"/>
      <x:c r="G13" s="3"/>
      <x:c r="H13" s="1"/>
      <x:c r="I13" s="1"/>
      <x:c r="J13" s="1"/>
      <x:c r="K13" s="1"/>
      <x:c r="L13" s="1"/>
    </x:row>
    <x:row r="14" ht="22" customHeight="1">
      <x:c r="C14" s="1" t="str">
        <x:v>Aerospace EV / EBITDA</x:v>
      </x:c>
      <x:c r="D14" s="10" t="n">
        <x:v>16</x:v>
      </x:c>
      <x:c r="E14" s="3"/>
      <x:c r="F14" s="3"/>
      <x:c r="G14" s="3"/>
      <x:c r="H14" s="1"/>
      <x:c r="I14" s="1"/>
      <x:c r="J14" s="1"/>
      <x:c r="K14" s="1"/>
      <x:c r="L14" s="1"/>
    </x:row>
    <x:row r="15" ht="22" customHeight="1">
      <x:c r="C15" s="1" t="str">
        <x:v>Residual leasing operating EV (USD m)</x:v>
      </x:c>
      <x:c r="D15" s="10" t="n">
        <x:v>1500</x:v>
      </x:c>
      <x:c r="E15" s="3"/>
      <x:c r="F15" s="3"/>
      <x:c r="G15" s="3"/>
      <x:c r="H15" s="1"/>
      <x:c r="I15" s="1"/>
      <x:c r="J15" s="1"/>
      <x:c r="K15" s="1"/>
      <x:c r="L15" s="1"/>
    </x:row>
    <x:row r="16" ht="22" customHeight="1">
      <x:c r="C16" s="1" t="str">
        <x:v>Investment equity proxy (USD m)</x:v>
      </x:c>
      <x:c r="D16" s="10" t="n">
        <x:v>401.803</x:v>
      </x:c>
      <x:c r="E16" s="3"/>
      <x:c r="F16" s="3"/>
      <x:c r="G16" s="3"/>
      <x:c r="H16" s="1"/>
      <x:c r="I16" s="1"/>
      <x:c r="J16" s="1"/>
      <x:c r="K16" s="1"/>
      <x:c r="L16" s="1"/>
    </x:row>
    <x:row r="17" ht="22" customHeight="1">
      <x:c r="C17" s="1" t="str">
        <x:v>Power earnings-proxy multiple</x:v>
      </x:c>
      <x:c r="D17" s="10" t="n">
        <x:v>14</x:v>
      </x:c>
      <x:c r="E17" s="3"/>
      <x:c r="F17" s="3"/>
      <x:c r="G17" s="3"/>
      <x:c r="H17" s="1"/>
      <x:c r="I17" s="1"/>
      <x:c r="J17" s="1"/>
      <x:c r="K17" s="1"/>
      <x:c r="L17" s="1"/>
    </x:row>
    <x:row r="18" ht="22" customHeight="1">
      <x:c r="C18" s="1" t="str">
        <x:v>Annual corporate cost (USD m)</x:v>
      </x:c>
      <x:c r="D18" s="10" t="n">
        <x:v>50</x:v>
      </x:c>
      <x:c r="E18" s="3"/>
      <x:c r="F18" s="3"/>
      <x:c r="G18" s="3"/>
      <x:c r="H18" s="1"/>
      <x:c r="I18" s="1"/>
      <x:c r="J18" s="1"/>
      <x:c r="K18" s="1"/>
      <x:c r="L18" s="1"/>
    </x:row>
    <x:row r="19" ht="22" customHeight="1">
      <x:c r="C19" s="1" t="str">
        <x:v>Corporate cost capitalization</x:v>
      </x:c>
      <x:c r="D19" s="10" t="n">
        <x:v>12</x:v>
      </x:c>
      <x:c r="E19" s="3"/>
      <x:c r="F19" s="3"/>
      <x:c r="G19" s="3"/>
      <x:c r="H19" s="1"/>
      <x:c r="I19" s="1"/>
      <x:c r="J19" s="1"/>
      <x:c r="K19" s="1"/>
      <x:c r="L19" s="1"/>
    </x:row>
    <x:row r="20" ht="22" customHeight="1">
      <x:c r="C20" s="1" t="str">
        <x:v>Consolidated bonds before issue costs (USD m)</x:v>
      </x:c>
      <x:c r="D20" s="10" t="n">
        <x:v>3496.38</x:v>
      </x:c>
      <x:c r="E20" s="3"/>
      <x:c r="F20" s="3"/>
      <x:c r="G20" s="3"/>
      <x:c r="H20" s="1"/>
      <x:c r="I20" s="1"/>
      <x:c r="J20" s="1"/>
      <x:c r="K20" s="1"/>
      <x:c r="L20" s="1"/>
    </x:row>
    <x:row r="21" ht="22" customHeight="1">
      <x:c r="C21" s="1" t="str">
        <x:v>Unrestricted cash (USD m)</x:v>
      </x:c>
      <x:c r="D21" s="10" t="n">
        <x:v>337.195</x:v>
      </x:c>
      <x:c r="E21" s="3"/>
      <x:c r="F21" s="3"/>
      <x:c r="G21" s="3"/>
      <x:c r="H21" s="1"/>
      <x:c r="I21" s="1"/>
      <x:c r="J21" s="1"/>
      <x:c r="K21" s="1"/>
      <x:c r="L21" s="1"/>
    </x:row>
    <x:row r="22" ht="22" customHeight="1">
      <x:c r="C22" s="1" t="str">
        <x:v>Preferred liquidation value (USD m)</x:v>
      </x:c>
      <x:c r="D22" s="10" t="n">
        <x:v>65</x:v>
      </x:c>
      <x:c r="E22" s="3"/>
      <x:c r="F22" s="3"/>
      <x:c r="G22" s="3"/>
      <x:c r="H22" s="1"/>
      <x:c r="I22" s="1"/>
      <x:c r="J22" s="1"/>
      <x:c r="K22" s="1"/>
      <x:c r="L22" s="1"/>
    </x:row>
    <x:row r="23" ht="22" customHeight="1">
      <x:c r="C23" s="1" t="str">
        <x:v>Q2 diluted shares proxy (millions)</x:v>
      </x:c>
      <x:c r="D23" s="10" t="n">
        <x:v>104.044113</x:v>
      </x:c>
      <x:c r="E23" s="3"/>
      <x:c r="F23" s="3"/>
      <x:c r="G23" s="3"/>
      <x:c r="H23" s="1"/>
      <x:c r="I23" s="1"/>
      <x:c r="J23" s="1"/>
      <x:c r="K23" s="1"/>
      <x:c r="L23" s="1"/>
    </x:row>
    <x:row r="24" ht="22" customHeight="1">
      <x:c r="C24" s="1"/>
      <x:c r="D24" s="3"/>
      <x:c r="E24" s="3"/>
      <x:c r="F24" s="3"/>
      <x:c r="G24" s="3"/>
      <x:c r="H24" s="1"/>
      <x:c r="I24" s="1"/>
      <x:c r="J24" s="1"/>
      <x:c r="K24" s="1"/>
      <x:c r="L24" s="1"/>
    </x:row>
    <x:row r="25" ht="22" customHeight="1">
      <x:c r="C25" s="1" t="str">
        <x:v>Power earnings proxy (USD m)</x:v>
      </x:c>
      <x:c r="D25" s="15" t="n">
        <x:f>'Power model'!D12</x:f>
        <x:v>139.2</x:v>
      </x:c>
      <x:c r="E25" s="3"/>
      <x:c r="F25" s="3"/>
      <x:c r="G25" s="3"/>
      <x:c r="H25" s="1"/>
      <x:c r="I25" s="1"/>
      <x:c r="J25" s="1"/>
      <x:c r="K25" s="1"/>
      <x:c r="L25" s="1"/>
    </x:row>
    <x:row r="26" ht="22" customHeight="1">
      <x:c r="C26" s="1"/>
      <x:c r="D26" s="3"/>
      <x:c r="E26" s="3"/>
      <x:c r="F26" s="3"/>
      <x:c r="G26" s="3"/>
      <x:c r="H26" s="1"/>
      <x:c r="I26" s="1"/>
      <x:c r="J26" s="1"/>
      <x:c r="K26" s="1"/>
      <x:c r="L26" s="1"/>
    </x:row>
    <x:row r="27" ht="22" customHeight="1">
      <x:c r="C27" s="1"/>
      <x:c r="D27" s="3"/>
      <x:c r="E27" s="3"/>
      <x:c r="F27" s="3"/>
      <x:c r="G27" s="3"/>
      <x:c r="H27" s="1"/>
      <x:c r="I27" s="1"/>
      <x:c r="J27" s="1"/>
      <x:c r="K27" s="1"/>
      <x:c r="L27" s="1"/>
    </x:row>
    <x:row r="28" ht="22" customHeight="1">
      <x:c r="C28" s="1" t="str">
        <x:v>All enterprise values are mutually exclusive; net debt is deducted once.</x:v>
      </x:c>
      <x:c r="D28" s="3"/>
      <x:c r="E28" s="3"/>
      <x:c r="F28" s="3"/>
      <x:c r="G28" s="3"/>
      <x:c r="H28" s="1"/>
      <x:c r="I28" s="1"/>
      <x:c r="J28" s="1"/>
      <x:c r="K28" s="1"/>
      <x:c r="L28" s="1"/>
    </x:row>
    <x:row r="29" ht="22" customHeight="1">
      <x:c r="C29" s="1" t="str">
        <x:v>Investment equity starts at consolidated book value, not SCI fair value.</x:v>
      </x:c>
      <x:c r="D29" s="3"/>
      <x:c r="E29" s="3"/>
      <x:c r="F29" s="3"/>
      <x:c r="G29" s="3"/>
      <x:c r="H29" s="1"/>
      <x:c r="I29" s="1"/>
      <x:c r="J29" s="1"/>
      <x:c r="K29" s="1"/>
      <x:c r="L29" s="1"/>
    </x:row>
    <x:row r="30" ht="22" customHeight="1">
      <x:c r="C30" s="1" t="str">
        <x:v>Debt/cash and diluted share proxy: June 2026 SEC filing.</x:v>
      </x:c>
      <x:c r="D30" s="3"/>
      <x:c r="E30" s="3"/>
      <x:c r="F30" s="3"/>
      <x:c r="G30" s="3"/>
      <x:c r="H30" s="1"/>
      <x:c r="I30" s="1"/>
      <x:c r="J30" s="1"/>
      <x:c r="K30" s="1"/>
      <x:c r="L30" s="1"/>
    </x:row>
    <x:row r="31" ht="22" customHeight="1">
      <x:c r="C31" s="1" t="str">
        <x:v>Scenario output is not a substantiated price target.</x:v>
      </x:c>
      <x:c r="D31" s="3"/>
      <x:c r="E31" s="3"/>
      <x:c r="F31" s="3"/>
      <x:c r="G31" s="3"/>
      <x:c r="H31" s="1"/>
      <x:c r="I31" s="1"/>
      <x:c r="J31" s="1"/>
      <x:c r="K31" s="1"/>
      <x:c r="L31" s="1"/>
    </x:row>
    <x:row r="32" ht="22" customHeight="1">
      <x:c r="C32" s="1"/>
      <x:c r="D32" s="3"/>
      <x:c r="E32" s="3"/>
      <x:c r="F32" s="3"/>
      <x:c r="G32" s="3"/>
      <x:c r="H32" s="1"/>
      <x:c r="I32" s="1"/>
      <x:c r="J32" s="1"/>
      <x:c r="K32" s="1"/>
      <x:c r="L32" s="1"/>
    </x:row>
    <x:row r="33" ht="22" customHeight="1">
      <x:c r="C33" s="1"/>
      <x:c r="D33" s="3"/>
      <x:c r="E33" s="3"/>
      <x:c r="F33" s="3"/>
      <x:c r="G33" s="3"/>
      <x:c r="H33" s="1"/>
      <x:c r="I33" s="1"/>
      <x:c r="J33" s="1"/>
      <x:c r="K33" s="1"/>
      <x:c r="L33" s="1"/>
    </x:row>
    <x:row r="34" ht="22" customHeight="1">
      <x:c r="C34" s="1"/>
      <x:c r="D34" s="3"/>
      <x:c r="E34" s="3"/>
      <x:c r="F34" s="3"/>
      <x:c r="G34" s="3"/>
      <x:c r="H34" s="1"/>
      <x:c r="I34" s="1"/>
      <x:c r="J34" s="1"/>
      <x:c r="K34" s="1"/>
      <x:c r="L34" s="1"/>
    </x:row>
    <x:row r="35" ht="22" customHeight="1">
      <x:c r="C35" s="1"/>
      <x:c r="D35" s="3"/>
      <x:c r="E35" s="3"/>
      <x:c r="F35" s="3"/>
      <x:c r="G35" s="3"/>
      <x:c r="H35" s="1"/>
      <x:c r="I35" s="1"/>
      <x:c r="J35" s="1"/>
      <x:c r="K35" s="1"/>
      <x:c r="L35" s="1"/>
    </x:row>
    <x:row r="36" ht="22" customHeight="1">
      <x:c r="C36" s="1"/>
      <x:c r="D36" s="3"/>
      <x:c r="E36" s="3"/>
      <x:c r="F36" s="3"/>
      <x:c r="G36" s="3"/>
      <x:c r="H36" s="1"/>
      <x:c r="I36" s="1"/>
      <x:c r="J36" s="1"/>
      <x:c r="K36" s="1"/>
      <x:c r="L36" s="1"/>
    </x:row>
    <x:row r="37" ht="22" customHeight="1">
      <x:c r="C37" s="1"/>
      <x:c r="D37" s="3"/>
      <x:c r="E37" s="3"/>
      <x:c r="F37" s="3"/>
      <x:c r="G37" s="3"/>
      <x:c r="H37" s="1"/>
      <x:c r="I37" s="1"/>
      <x:c r="J37" s="1"/>
      <x:c r="K37" s="1"/>
      <x:c r="L37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50" hidden="0" customWidth="1"/>
    <x:col min="4" max="4" width="16" hidden="0" customWidth="1"/>
    <x:col min="5" max="5" width="25" hidden="0" customWidth="1"/>
    <x:col min="6" max="6" width="25" hidden="0" customWidth="1"/>
    <x:col min="7" max="7" width="25" hidden="0" customWidth="1"/>
    <x:col min="8" max="8" width="8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2" ht="22" customHeight="1">
      <x:c r="C2" s="2" t="str">
        <x:v>Disclosed financial and operating inputs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C3" s="1" t="str">
        <x:v>As of October 4, 2026. Source units retained.</x:v>
      </x:c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5" customHeight="1">
      <x:c r="C5" s="17" t="str">
        <x:v>Measure</x:v>
      </x:c>
      <x:c r="D5" s="18" t="str">
        <x:v>Value</x:v>
      </x:c>
      <x:c r="E5" s="18" t="str">
        <x:v>Unit</x:v>
      </x:c>
      <x:c r="F5" s="18" t="str">
        <x:v>Basis</x:v>
      </x:c>
      <x:c r="G5" s="18" t="str">
        <x:v>Locator</x:v>
      </x:c>
      <x:c r="H5" s="17" t="str">
        <x:v>Primary source URL</x:v>
      </x:c>
      <x:c r="I5" s="1"/>
      <x:c r="J5" s="1"/>
      <x:c r="K5" s="1"/>
      <x:c r="L5" s="1"/>
    </x:row>
    <x:row r="6" ht="44" customHeight="1">
      <x:c r="C6" s="19" t="str">
        <x:v>Initial J&amp;F purchase order</x:v>
      </x:c>
      <x:c r="D6" s="20" t="n">
        <x:v>1465</x:v>
      </x:c>
      <x:c r="E6" s="20" t="str">
        <x:v>USD million</x:v>
      </x:c>
      <x:c r="F6" s="20" t="str">
        <x:v>Company disclosure</x:v>
      </x:c>
      <x:c r="G6" s="20" t="str">
        <x:v>p. 1, section I</x:v>
      </x:c>
      <x:c r="H6" s="19" t="str">
        <x:v>https://static.cninfo.com.cn/finalpage/2026-07-23/1225436739.PDF</x:v>
      </x:c>
      <x:c r="I6" s="1"/>
      <x:c r="J6" s="1"/>
      <x:c r="K6" s="1"/>
      <x:c r="L6" s="1"/>
    </x:row>
    <x:row r="7" ht="44" customHeight="1">
      <x:c r="C7" s="19" t="str">
        <x:v>Customer orders over last 12 months, including this order</x:v>
      </x:c>
      <x:c r="D7" s="20" t="n">
        <x:v>1719.8221</x:v>
      </x:c>
      <x:c r="E7" s="20" t="str">
        <x:v>USD million</x:v>
      </x:c>
      <x:c r="F7" s="20" t="str">
        <x:v>Company disclosure</x:v>
      </x:c>
      <x:c r="G7" s="20" t="str">
        <x:v>p. 1, section II.3</x:v>
      </x:c>
      <x:c r="H7" s="19" t="str">
        <x:v>https://static.cninfo.com.cn/finalpage/2026-07-23/1225436739.PDF</x:v>
      </x:c>
      <x:c r="I7" s="1"/>
      <x:c r="J7" s="1"/>
      <x:c r="K7" s="1"/>
      <x:c r="L7" s="1"/>
    </x:row>
    <x:row r="8" ht="44" customHeight="1">
      <x:c r="C8" s="19" t="str">
        <x:v>Per-equipment downward performance adjustment cap</x:v>
      </x:c>
      <x:c r="D8" s="20" t="n">
        <x:v>0.1</x:v>
      </x:c>
      <x:c r="E8" s="20" t="str">
        <x:v>fraction</x:v>
      </x:c>
      <x:c r="F8" s="20" t="str">
        <x:v>Contract disclosure</x:v>
      </x:c>
      <x:c r="G8" s="20" t="str">
        <x:v>p. 2, section III.6</x:v>
      </x:c>
      <x:c r="H8" s="19" t="str">
        <x:v>https://static.cninfo.com.cn/finalpage/2026-07-23/1225436739.PDF</x:v>
      </x:c>
      <x:c r="I8" s="1"/>
      <x:c r="J8" s="1"/>
      <x:c r="K8" s="1"/>
      <x:c r="L8" s="1"/>
    </x:row>
    <x:row r="9" ht="44" customHeight="1">
      <x:c r="C9" s="19" t="str">
        <x:v>Per-equipment delivery-delay compensation cap</x:v>
      </x:c>
      <x:c r="D9" s="20" t="n">
        <x:v>0.1</x:v>
      </x:c>
      <x:c r="E9" s="20" t="str">
        <x:v>fraction</x:v>
      </x:c>
      <x:c r="F9" s="20" t="str">
        <x:v>Contract disclosure</x:v>
      </x:c>
      <x:c r="G9" s="20" t="str">
        <x:v>p. 2, section III.9</x:v>
      </x:c>
      <x:c r="H9" s="19" t="str">
        <x:v>https://static.cninfo.com.cn/finalpage/2026-07-23/1225436739.PDF</x:v>
      </x:c>
      <x:c r="I9" s="1"/>
      <x:c r="J9" s="1"/>
      <x:c r="K9" s="1"/>
      <x:c r="L9" s="1"/>
    </x:row>
    <x:row r="10" ht="44" customHeight="1">
      <x:c r="C10" s="19" t="str">
        <x:v>Mod-1 intended unit output</x:v>
      </x:c>
      <x:c r="D10" s="20" t="n">
        <x:v>25</x:v>
      </x:c>
      <x:c r="E10" s="20" t="str">
        <x:v>MW</x:v>
      </x:c>
      <x:c r="F10" s="20" t="str">
        <x:v>Management guidance</x:v>
      </x:c>
      <x:c r="G10" s="20" t="str">
        <x:v>Power section</x:v>
      </x:c>
      <x:c r="H10" s="19" t="str">
        <x:v>https://ir.ftaiaviation.com/static-files/a8601ed2-7367-4a33-898f-5163eb8b212d</x:v>
      </x:c>
      <x:c r="I10" s="1"/>
      <x:c r="J10" s="1"/>
      <x:c r="K10" s="1"/>
      <x:c r="L10" s="1"/>
    </x:row>
    <x:row r="11" ht="44" customHeight="1">
      <x:c r="C11" s="19" t="str">
        <x:v>2027 Mod-1 delivery target</x:v>
      </x:c>
      <x:c r="D11" s="20" t="n">
        <x:v>100</x:v>
      </x:c>
      <x:c r="E11" s="20" t="str">
        <x:v>units</x:v>
      </x:c>
      <x:c r="F11" s="20" t="str">
        <x:v>Management guidance</x:v>
      </x:c>
      <x:c r="G11" s="20" t="str">
        <x:v>Power section</x:v>
      </x:c>
      <x:c r="H11" s="19" t="str">
        <x:v>https://ir.ftaiaviation.com/static-files/a8601ed2-7367-4a33-898f-5163eb8b212d</x:v>
      </x:c>
      <x:c r="I11" s="1"/>
      <x:c r="J11" s="1"/>
      <x:c r="K11" s="1"/>
      <x:c r="L11" s="1"/>
    </x:row>
    <x:row r="12" ht="44" customHeight="1">
      <x:c r="C12" s="19" t="str">
        <x:v>Bonds payable before issuance costs</x:v>
      </x:c>
      <x:c r="D12" s="20" t="n">
        <x:v>3496.38</x:v>
      </x:c>
      <x:c r="E12" s="20" t="str">
        <x:v>USD million</x:v>
      </x:c>
      <x:c r="F12" s="20" t="str">
        <x:v>Reported financial</x:v>
      </x:c>
      <x:c r="G12" s="20" t="str">
        <x:v>Note 6, June 30, 2026</x:v>
      </x:c>
      <x:c r="H12" s="19" t="str">
        <x:v>https://ir.ftaiaviation.com/static-files/bcc4dc23-f669-4f90-b681-db8e6365e93e</x:v>
      </x:c>
      <x:c r="I12" s="1"/>
      <x:c r="J12" s="1"/>
      <x:c r="K12" s="1"/>
      <x:c r="L12" s="1"/>
    </x:row>
    <x:row r="13" ht="44" customHeight="1">
      <x:c r="C13" s="19" t="str">
        <x:v>Unrestricted cash</x:v>
      </x:c>
      <x:c r="D13" s="20" t="n">
        <x:v>337.195</x:v>
      </x:c>
      <x:c r="E13" s="20" t="str">
        <x:v>USD million</x:v>
      </x:c>
      <x:c r="F13" s="20" t="str">
        <x:v>Reported financial</x:v>
      </x:c>
      <x:c r="G13" s="20" t="str">
        <x:v>Balance sheet, June 30, 2026</x:v>
      </x:c>
      <x:c r="H13" s="19" t="str">
        <x:v>https://ir.ftaiaviation.com/static-files/bcc4dc23-f669-4f90-b681-db8e6365e93e</x:v>
      </x:c>
      <x:c r="I13" s="1"/>
      <x:c r="J13" s="1"/>
      <x:c r="K13" s="1"/>
      <x:c r="L13" s="1"/>
    </x:row>
    <x:row r="14" ht="44" customHeight="1">
      <x:c r="C14" s="19" t="str">
        <x:v>Q2 weighted-average diluted shares</x:v>
      </x:c>
      <x:c r="D14" s="20" t="n">
        <x:v>104.044113</x:v>
      </x:c>
      <x:c r="E14" s="20" t="str">
        <x:v>million shares</x:v>
      </x:c>
      <x:c r="F14" s="20" t="str">
        <x:v>Reported financial</x:v>
      </x:c>
      <x:c r="G14" s="20" t="str">
        <x:v>Note 12, three months ended June 30, 2026</x:v>
      </x:c>
      <x:c r="H14" s="19" t="str">
        <x:v>https://ir.ftaiaviation.com/static-files/bcc4dc23-f669-4f90-b681-db8e6365e93e</x:v>
      </x:c>
      <x:c r="I14" s="1"/>
      <x:c r="J14" s="1"/>
      <x:c r="K14" s="1"/>
      <x:c r="L14" s="1"/>
    </x:row>
    <x:row r="15" ht="44" customHeight="1">
      <x:c r="C15" s="19" t="str">
        <x:v>Consolidated investments carrying value</x:v>
      </x:c>
      <x:c r="D15" s="20" t="n">
        <x:v>401.803</x:v>
      </x:c>
      <x:c r="E15" s="20" t="str">
        <x:v>USD million</x:v>
      </x:c>
      <x:c r="F15" s="20" t="str">
        <x:v>Reported financial</x:v>
      </x:c>
      <x:c r="G15" s="20" t="str">
        <x:v>Balance sheet, June 30, 2026</x:v>
      </x:c>
      <x:c r="H15" s="19" t="str">
        <x:v>https://ir.ftaiaviation.com/static-files/bcc4dc23-f669-4f90-b681-db8e6365e93e</x:v>
      </x:c>
      <x:c r="I15" s="1"/>
      <x:c r="J15" s="1"/>
      <x:c r="K15" s="1"/>
      <x:c r="L15" s="1"/>
    </x:row>
    <x:row r="16" ht="44" customHeight="1">
      <x:c r="C16" s="19" t="str">
        <x:v>GE LM2500XPRESS +G4 net heat rate</x:v>
      </x:c>
      <x:c r="D16" s="20" t="n">
        <x:v>8669</x:v>
      </x:c>
      <x:c r="E16" s="20" t="str">
        <x:v>Btu/kWh LHV</x:v>
      </x:c>
      <x:c r="F16" s="20" t="str">
        <x:v>Manufacturer specification</x:v>
      </x:c>
      <x:c r="G16" s="20" t="str">
        <x:v>50 Hz, simple-cycle specification table</x:v>
      </x:c>
      <x:c r="H16" s="19" t="str">
        <x:v>https://www.gevernova.com/gas-power/products/gas-turbines/lm2500.</x:v>
      </x:c>
      <x:c r="I16" s="1"/>
      <x:c r="J16" s="1"/>
      <x:c r="K16" s="1"/>
      <x:c r="L16" s="1"/>
    </x:row>
    <x:row r="17" ht="22" customHeight="1">
      <x:c r="C17" s="1"/>
      <x:c r="D17" s="3"/>
      <x:c r="E17" s="3"/>
      <x:c r="F17" s="3"/>
      <x:c r="G17" s="3"/>
      <x:c r="H17" s="1"/>
      <x:c r="I17" s="1"/>
      <x:c r="J17" s="1"/>
      <x:c r="K17" s="1"/>
      <x:c r="L17" s="1"/>
    </x:row>
    <x:row r="18" ht="22" customHeight="1">
      <x:c r="C18" s="1"/>
      <x:c r="D18" s="3"/>
      <x:c r="E18" s="3"/>
      <x:c r="F18" s="3"/>
      <x:c r="G18" s="3"/>
      <x:c r="H18" s="1"/>
      <x:c r="I18" s="1"/>
      <x:c r="J18" s="1"/>
      <x:c r="K18" s="1"/>
      <x:c r="L18" s="1"/>
    </x:row>
    <x:row r="19" ht="22" customHeight="1">
      <x:c r="C19" s="1" t="str">
        <x:v>Source documents are linked; no raw PDFs are redistributed.</x:v>
      </x:c>
      <x:c r="D19" s="3"/>
      <x:c r="E19" s="3"/>
      <x:c r="F19" s="3"/>
      <x:c r="G19" s="3"/>
      <x:c r="H19" s="1"/>
      <x:c r="I19" s="1"/>
      <x:c r="J19" s="1"/>
      <x:c r="K19" s="1"/>
      <x:c r="L19" s="1"/>
    </x:row>
    <x:row r="20" ht="22" customHeight="1">
      <x:c r="C20" s="1" t="str">
        <x:v>Numeric inputs elsewhere distinguish assumptions from these observations.</x:v>
      </x:c>
      <x:c r="D20" s="3"/>
      <x:c r="E20" s="3"/>
      <x:c r="F20" s="3"/>
      <x:c r="G20" s="3"/>
      <x:c r="H20" s="1"/>
      <x:c r="I20" s="1"/>
      <x:c r="J20" s="1"/>
      <x:c r="K20" s="1"/>
      <x:c r="L20" s="1"/>
    </x:row>
    <x:row r="21" ht="22" customHeight="1">
      <x:c r="C21" s="1"/>
      <x:c r="D21" s="3"/>
      <x:c r="E21" s="3"/>
      <x:c r="F21" s="3"/>
      <x:c r="G21" s="3"/>
      <x:c r="H21" s="1"/>
      <x:c r="I21" s="1"/>
      <x:c r="J21" s="1"/>
      <x:c r="K21" s="1"/>
      <x:c r="L21" s="1"/>
    </x:row>
    <x:row r="22" ht="22" customHeight="1">
      <x:c r="C22" s="1"/>
      <x:c r="D22" s="3"/>
      <x:c r="E22" s="3"/>
      <x:c r="F22" s="3"/>
      <x:c r="G22" s="3"/>
      <x:c r="H22" s="1"/>
      <x:c r="I22" s="1"/>
      <x:c r="J22" s="1"/>
      <x:c r="K22" s="1"/>
      <x:c r="L22" s="1"/>
    </x:row>
    <x:row r="23" ht="22" customHeight="1">
      <x:c r="C23" s="1"/>
      <x:c r="D23" s="3"/>
      <x:c r="E23" s="3"/>
      <x:c r="F23" s="3"/>
      <x:c r="G23" s="3"/>
      <x:c r="H23" s="1"/>
      <x:c r="I23" s="1"/>
      <x:c r="J23" s="1"/>
      <x:c r="K23" s="1"/>
      <x:c r="L23" s="1"/>
    </x:row>
    <x:row r="24" ht="22" customHeight="1">
      <x:c r="C24" s="1"/>
      <x:c r="D24" s="3"/>
      <x:c r="E24" s="3"/>
      <x:c r="F24" s="3"/>
      <x:c r="G24" s="3"/>
      <x:c r="H24" s="1"/>
      <x:c r="I24" s="1"/>
      <x:c r="J24" s="1"/>
      <x:c r="K24" s="1"/>
      <x:c r="L24" s="1"/>
    </x:row>
    <x:row r="25" ht="22" customHeight="1">
      <x:c r="C25" s="1"/>
      <x:c r="D25" s="3"/>
      <x:c r="E25" s="3"/>
      <x:c r="F25" s="3"/>
      <x:c r="G25" s="3"/>
      <x:c r="H25" s="1"/>
      <x:c r="I25" s="1"/>
      <x:c r="J25" s="1"/>
      <x:c r="K25" s="1"/>
      <x:c r="L25" s="1"/>
    </x:row>
    <x:row r="26" ht="22" customHeight="1">
      <x:c r="C26" s="1"/>
      <x:c r="D26" s="3"/>
      <x:c r="E26" s="3"/>
      <x:c r="F26" s="3"/>
      <x:c r="G26" s="3"/>
      <x:c r="H26" s="1"/>
      <x:c r="I26" s="1"/>
      <x:c r="J26" s="1"/>
      <x:c r="K26" s="1"/>
      <x:c r="L26" s="1"/>
    </x:row>
    <x:row r="27" ht="22" customHeight="1">
      <x:c r="C27" s="1"/>
      <x:c r="D27" s="3"/>
      <x:c r="E27" s="3"/>
      <x:c r="F27" s="3"/>
      <x:c r="G27" s="3"/>
      <x:c r="H27" s="1"/>
      <x:c r="I27" s="1"/>
      <x:c r="J27" s="1"/>
      <x:c r="K27" s="1"/>
      <x:c r="L27" s="1"/>
    </x:row>
    <x:row r="28" ht="22" customHeight="1">
      <x:c r="C28" s="1"/>
      <x:c r="D28" s="3"/>
      <x:c r="E28" s="3"/>
      <x:c r="F28" s="3"/>
      <x:c r="G28" s="3"/>
      <x:c r="H28" s="1"/>
      <x:c r="I28" s="1"/>
      <x:c r="J28" s="1"/>
      <x:c r="K28" s="1"/>
      <x:c r="L28" s="1"/>
    </x:row>
    <x:row r="29" ht="22" customHeight="1">
      <x:c r="C29" s="1"/>
      <x:c r="D29" s="3"/>
      <x:c r="E29" s="3"/>
      <x:c r="F29" s="3"/>
      <x:c r="G29" s="3"/>
      <x:c r="H29" s="1"/>
      <x:c r="I29" s="1"/>
      <x:c r="J29" s="1"/>
      <x:c r="K29" s="1"/>
      <x:c r="L29" s="1"/>
    </x:row>
    <x:row r="30" ht="22" customHeight="1">
      <x:c r="C30" s="1"/>
      <x:c r="D30" s="3"/>
      <x:c r="E30" s="3"/>
      <x:c r="F30" s="3"/>
      <x:c r="G30" s="3"/>
      <x:c r="H30" s="1"/>
      <x:c r="I30" s="1"/>
      <x:c r="J30" s="1"/>
      <x:c r="K30" s="1"/>
      <x:c r="L30" s="1"/>
    </x:row>
  </x:sheetData>
  <x:pageMargins left="0.7" right="0.7" top="0.75" bottom="0.75" header="0.3" footer="0.3"/>
</x:worksheet>
</file>